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MAI VAN DUNG\Downloads\Cap Final\"/>
    </mc:Choice>
  </mc:AlternateContent>
  <xr:revisionPtr revIDLastSave="0" documentId="13_ncr:1_{0B89C6A6-0EA3-469C-A59E-1ED50D539361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ain" sheetId="1" r:id="rId1"/>
    <sheet name="Product Backlog" sheetId="8" r:id="rId2"/>
    <sheet name="Sprint 1 Backlog" sheetId="3" r:id="rId3"/>
    <sheet name="Sprint 2 Backlog" sheetId="4" r:id="rId4"/>
    <sheet name="Sprint 3 Backlog" sheetId="5" r:id="rId5"/>
    <sheet name="Sprint 4 Backlog" sheetId="6" r:id="rId6"/>
  </sheets>
  <definedNames>
    <definedName name="_xlnm._FilterDatabase" localSheetId="3" hidden="1">'Sprint 2 Backlog'!$E$8:$E$79</definedName>
    <definedName name="_xlnm._FilterDatabase" localSheetId="4" hidden="1">'Sprint 3 Backlog'!$D$8:$D$61</definedName>
  </definedNames>
  <calcPr calcId="191029"/>
</workbook>
</file>

<file path=xl/calcChain.xml><?xml version="1.0" encoding="utf-8"?>
<calcChain xmlns="http://schemas.openxmlformats.org/spreadsheetml/2006/main">
  <c r="J17" i="6" l="1"/>
  <c r="J9" i="6"/>
  <c r="J10" i="6"/>
  <c r="J11" i="6"/>
  <c r="J12" i="6"/>
  <c r="J14" i="6"/>
  <c r="J15" i="6"/>
  <c r="J16" i="6"/>
  <c r="J18" i="6"/>
  <c r="J19" i="6"/>
  <c r="J20" i="6"/>
  <c r="J21" i="6"/>
  <c r="J22" i="6"/>
  <c r="J23" i="6"/>
  <c r="J24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8" i="6"/>
  <c r="A9" i="6"/>
  <c r="A10" i="6" s="1"/>
  <c r="A11" i="6" s="1"/>
  <c r="A12" i="6" s="1"/>
  <c r="A13" i="6" s="1"/>
  <c r="A14" i="6" s="1"/>
  <c r="A15" i="6" s="1"/>
  <c r="A16" i="6" s="1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8" i="5"/>
  <c r="G43" i="4"/>
  <c r="H43" i="4" s="1"/>
  <c r="G42" i="4"/>
  <c r="H42" i="4" s="1"/>
  <c r="H36" i="4"/>
  <c r="H12" i="4"/>
  <c r="H13" i="4"/>
  <c r="H18" i="4"/>
  <c r="H19" i="4"/>
  <c r="H37" i="4"/>
  <c r="G9" i="4"/>
  <c r="H9" i="4" s="1"/>
  <c r="G10" i="4"/>
  <c r="H10" i="4" s="1"/>
  <c r="G11" i="4"/>
  <c r="H11" i="4" s="1"/>
  <c r="G14" i="4"/>
  <c r="H14" i="4" s="1"/>
  <c r="G15" i="4"/>
  <c r="H15" i="4" s="1"/>
  <c r="G16" i="4"/>
  <c r="H16" i="4" s="1"/>
  <c r="G17" i="4"/>
  <c r="H17" i="4" s="1"/>
  <c r="G20" i="4"/>
  <c r="H20" i="4" s="1"/>
  <c r="G21" i="4"/>
  <c r="H21" i="4" s="1"/>
  <c r="G22" i="4"/>
  <c r="H22" i="4" s="1"/>
  <c r="G23" i="4"/>
  <c r="H23" i="4" s="1"/>
  <c r="H24" i="4"/>
  <c r="H25" i="4"/>
  <c r="G26" i="4"/>
  <c r="H26" i="4" s="1"/>
  <c r="G27" i="4"/>
  <c r="H27" i="4" s="1"/>
  <c r="G28" i="4"/>
  <c r="H28" i="4" s="1"/>
  <c r="G29" i="4"/>
  <c r="H29" i="4" s="1"/>
  <c r="H30" i="4"/>
  <c r="H31" i="4"/>
  <c r="G32" i="4"/>
  <c r="H32" i="4" s="1"/>
  <c r="G33" i="4"/>
  <c r="H33" i="4" s="1"/>
  <c r="G34" i="4"/>
  <c r="H34" i="4" s="1"/>
  <c r="G35" i="4"/>
  <c r="H35" i="4" s="1"/>
  <c r="G38" i="4"/>
  <c r="H38" i="4" s="1"/>
  <c r="G39" i="4"/>
  <c r="H39" i="4" s="1"/>
  <c r="G40" i="4"/>
  <c r="H40" i="4" s="1"/>
  <c r="G41" i="4"/>
  <c r="H41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" i="4"/>
  <c r="H8" i="4" s="1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K73" i="5"/>
  <c r="K75" i="5" s="1"/>
  <c r="F73" i="5"/>
  <c r="G73" i="5"/>
  <c r="I73" i="5"/>
  <c r="H13" i="5"/>
  <c r="J13" i="5"/>
  <c r="H14" i="5"/>
  <c r="J14" i="5"/>
  <c r="H15" i="5"/>
  <c r="J15" i="5"/>
  <c r="H16" i="5"/>
  <c r="J16" i="5"/>
  <c r="H17" i="5"/>
  <c r="J17" i="5"/>
  <c r="H18" i="5"/>
  <c r="J18" i="5"/>
  <c r="H19" i="5"/>
  <c r="J19" i="5"/>
  <c r="H20" i="5"/>
  <c r="J20" i="5"/>
  <c r="H21" i="5"/>
  <c r="J21" i="5"/>
  <c r="H22" i="5"/>
  <c r="J22" i="5"/>
  <c r="H23" i="5"/>
  <c r="J23" i="5"/>
  <c r="H24" i="5"/>
  <c r="J24" i="5"/>
  <c r="H25" i="5"/>
  <c r="J25" i="5"/>
  <c r="H26" i="5"/>
  <c r="J26" i="5"/>
  <c r="H27" i="5"/>
  <c r="J27" i="5"/>
  <c r="H28" i="5"/>
  <c r="J28" i="5"/>
  <c r="H29" i="5"/>
  <c r="J29" i="5"/>
  <c r="H30" i="5"/>
  <c r="J30" i="5"/>
  <c r="H31" i="5"/>
  <c r="J31" i="5"/>
  <c r="H32" i="5"/>
  <c r="J32" i="5"/>
  <c r="H33" i="5"/>
  <c r="J33" i="5"/>
  <c r="H34" i="5"/>
  <c r="J34" i="5"/>
  <c r="H35" i="5"/>
  <c r="J35" i="5"/>
  <c r="H36" i="5"/>
  <c r="J36" i="5"/>
  <c r="H37" i="5"/>
  <c r="J37" i="5"/>
  <c r="H38" i="5"/>
  <c r="J38" i="5"/>
  <c r="H39" i="5"/>
  <c r="J39" i="5"/>
  <c r="H40" i="5"/>
  <c r="J40" i="5"/>
  <c r="H41" i="5"/>
  <c r="J41" i="5"/>
  <c r="H42" i="5"/>
  <c r="J42" i="5"/>
  <c r="H43" i="5"/>
  <c r="J43" i="5"/>
  <c r="H44" i="5"/>
  <c r="J44" i="5"/>
  <c r="H45" i="5"/>
  <c r="J45" i="5"/>
  <c r="H46" i="5"/>
  <c r="J46" i="5"/>
  <c r="H47" i="5"/>
  <c r="J47" i="5"/>
  <c r="H48" i="5"/>
  <c r="J48" i="5"/>
  <c r="H49" i="5"/>
  <c r="J49" i="5"/>
  <c r="H50" i="5"/>
  <c r="J50" i="5"/>
  <c r="H51" i="5"/>
  <c r="J51" i="5"/>
  <c r="H52" i="5"/>
  <c r="J52" i="5"/>
  <c r="H53" i="5"/>
  <c r="J53" i="5"/>
  <c r="H54" i="5"/>
  <c r="H55" i="5"/>
  <c r="H56" i="5"/>
  <c r="J56" i="5"/>
  <c r="H57" i="5"/>
  <c r="J57" i="5"/>
  <c r="J58" i="5"/>
  <c r="J59" i="5"/>
  <c r="J60" i="5"/>
  <c r="J61" i="5"/>
  <c r="AN80" i="4"/>
  <c r="I80" i="4"/>
  <c r="F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J43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8" i="3"/>
  <c r="A17" i="6" l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K74" i="5"/>
  <c r="G80" i="4"/>
  <c r="L74" i="5"/>
  <c r="M74" i="5" s="1"/>
  <c r="N74" i="5" s="1"/>
  <c r="O74" i="5" s="1"/>
  <c r="P74" i="5" s="1"/>
  <c r="Q74" i="5" s="1"/>
  <c r="R74" i="5" s="1"/>
  <c r="S74" i="5" s="1"/>
  <c r="T74" i="5" s="1"/>
  <c r="U74" i="5" s="1"/>
  <c r="V74" i="5" s="1"/>
  <c r="W74" i="5" s="1"/>
  <c r="X74" i="5" s="1"/>
  <c r="Y74" i="5" s="1"/>
  <c r="Z74" i="5" s="1"/>
  <c r="AA74" i="5" s="1"/>
  <c r="AB74" i="5" s="1"/>
  <c r="AC74" i="5" s="1"/>
  <c r="AD74" i="5" s="1"/>
  <c r="AE74" i="5" s="1"/>
  <c r="AF74" i="5" s="1"/>
  <c r="AG74" i="5" s="1"/>
  <c r="AH74" i="5" s="1"/>
  <c r="AI74" i="5" s="1"/>
  <c r="AJ74" i="5" s="1"/>
  <c r="AK74" i="5" s="1"/>
  <c r="AL74" i="5" s="1"/>
  <c r="AM74" i="5" s="1"/>
  <c r="AN74" i="5" s="1"/>
  <c r="AO74" i="5" s="1"/>
  <c r="AP74" i="5" s="1"/>
  <c r="AQ74" i="5" s="1"/>
  <c r="L75" i="5"/>
  <c r="M75" i="5" s="1"/>
  <c r="N75" i="5" s="1"/>
  <c r="O75" i="5" s="1"/>
  <c r="P75" i="5" s="1"/>
  <c r="Q75" i="5" s="1"/>
  <c r="R75" i="5" s="1"/>
  <c r="S75" i="5" s="1"/>
  <c r="T75" i="5" s="1"/>
  <c r="U75" i="5" s="1"/>
  <c r="V75" i="5" s="1"/>
  <c r="W75" i="5" s="1"/>
  <c r="X75" i="5" s="1"/>
  <c r="Y75" i="5" s="1"/>
  <c r="Z75" i="5" s="1"/>
  <c r="AA75" i="5" s="1"/>
  <c r="AB75" i="5" s="1"/>
  <c r="AC75" i="5" s="1"/>
  <c r="AD75" i="5" s="1"/>
  <c r="AE75" i="5" s="1"/>
  <c r="AF75" i="5" s="1"/>
  <c r="AG75" i="5" s="1"/>
  <c r="AH75" i="5" s="1"/>
  <c r="AI75" i="5" s="1"/>
  <c r="AJ75" i="5" s="1"/>
  <c r="AK75" i="5" s="1"/>
  <c r="AL75" i="5" s="1"/>
  <c r="AM75" i="5" s="1"/>
  <c r="AN75" i="5" s="1"/>
  <c r="AO75" i="5" s="1"/>
  <c r="AP75" i="5" s="1"/>
  <c r="AQ75" i="5" s="1"/>
  <c r="J80" i="4"/>
  <c r="J8" i="5"/>
  <c r="H9" i="5"/>
  <c r="J9" i="5"/>
  <c r="H10" i="5"/>
  <c r="J10" i="5"/>
  <c r="H11" i="5"/>
  <c r="J11" i="5"/>
  <c r="H12" i="5"/>
  <c r="J12" i="5"/>
  <c r="J73" i="5" l="1"/>
  <c r="H73" i="5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K52" i="6" s="1"/>
  <c r="J50" i="6"/>
  <c r="I50" i="6"/>
  <c r="G50" i="6"/>
  <c r="F50" i="6"/>
  <c r="H50" i="6"/>
  <c r="K80" i="4"/>
  <c r="T45" i="3"/>
  <c r="S45" i="3"/>
  <c r="R45" i="3"/>
  <c r="Q45" i="3"/>
  <c r="P45" i="3"/>
  <c r="O45" i="3"/>
  <c r="N45" i="3"/>
  <c r="M45" i="3"/>
  <c r="L45" i="3"/>
  <c r="K45" i="3"/>
  <c r="I45" i="3"/>
  <c r="F45" i="3"/>
  <c r="K51" i="6" l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AJ51" i="6" s="1"/>
  <c r="L52" i="6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K81" i="4"/>
  <c r="L81" i="4" s="1"/>
  <c r="M81" i="4" s="1"/>
  <c r="N81" i="4" s="1"/>
  <c r="O81" i="4" s="1"/>
  <c r="P81" i="4" s="1"/>
  <c r="Q81" i="4" s="1"/>
  <c r="R81" i="4" s="1"/>
  <c r="S81" i="4" s="1"/>
  <c r="T81" i="4" s="1"/>
  <c r="U81" i="4" s="1"/>
  <c r="V81" i="4" s="1"/>
  <c r="W81" i="4" s="1"/>
  <c r="X81" i="4" s="1"/>
  <c r="Y81" i="4" s="1"/>
  <c r="Z81" i="4" s="1"/>
  <c r="AA81" i="4" s="1"/>
  <c r="AB81" i="4" s="1"/>
  <c r="AC81" i="4" s="1"/>
  <c r="AD81" i="4" s="1"/>
  <c r="AE81" i="4" s="1"/>
  <c r="AF81" i="4" s="1"/>
  <c r="AG81" i="4" s="1"/>
  <c r="AH81" i="4" s="1"/>
  <c r="AI81" i="4" s="1"/>
  <c r="AJ81" i="4" s="1"/>
  <c r="AK81" i="4" s="1"/>
  <c r="AL81" i="4" s="1"/>
  <c r="AM81" i="4" s="1"/>
  <c r="AN81" i="4" s="1"/>
  <c r="K82" i="4"/>
  <c r="L82" i="4" s="1"/>
  <c r="M82" i="4" s="1"/>
  <c r="N82" i="4" s="1"/>
  <c r="O82" i="4" s="1"/>
  <c r="P82" i="4" s="1"/>
  <c r="Q82" i="4" s="1"/>
  <c r="R82" i="4" s="1"/>
  <c r="S82" i="4" s="1"/>
  <c r="T82" i="4" s="1"/>
  <c r="U82" i="4" s="1"/>
  <c r="V82" i="4" s="1"/>
  <c r="W82" i="4" s="1"/>
  <c r="X82" i="4" s="1"/>
  <c r="Y82" i="4" s="1"/>
  <c r="Z82" i="4" s="1"/>
  <c r="AA82" i="4" s="1"/>
  <c r="AB82" i="4" s="1"/>
  <c r="AC82" i="4" s="1"/>
  <c r="AD82" i="4" s="1"/>
  <c r="AE82" i="4" s="1"/>
  <c r="AF82" i="4" s="1"/>
  <c r="AG82" i="4" s="1"/>
  <c r="AH82" i="4" s="1"/>
  <c r="AI82" i="4" s="1"/>
  <c r="AJ82" i="4" s="1"/>
  <c r="AK82" i="4" s="1"/>
  <c r="AL82" i="4" s="1"/>
  <c r="AM82" i="4" s="1"/>
  <c r="AN82" i="4" s="1"/>
  <c r="K47" i="3"/>
  <c r="L47" i="3" s="1"/>
  <c r="M47" i="3" s="1"/>
  <c r="N47" i="3" s="1"/>
  <c r="O47" i="3" s="1"/>
  <c r="P47" i="3" s="1"/>
  <c r="Q47" i="3" s="1"/>
  <c r="R47" i="3" s="1"/>
  <c r="S47" i="3" s="1"/>
  <c r="T47" i="3" s="1"/>
  <c r="K46" i="3"/>
  <c r="L46" i="3" s="1"/>
  <c r="M46" i="3" s="1"/>
  <c r="N46" i="3" s="1"/>
  <c r="O46" i="3" s="1"/>
  <c r="P46" i="3" s="1"/>
  <c r="Q46" i="3" s="1"/>
  <c r="R46" i="3" s="1"/>
  <c r="S46" i="3" s="1"/>
  <c r="T46" i="3" s="1"/>
  <c r="J45" i="3"/>
  <c r="H45" i="3"/>
  <c r="G45" i="3"/>
  <c r="H8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200-000001000000}">
      <text>
        <r>
          <rPr>
            <sz val="10"/>
            <color theme="1"/>
            <rFont val="Calibri"/>
            <family val="2"/>
            <scheme val="minor"/>
          </rPr>
          <t>======
ID#AAAAeu_Dblw
jan samuelsson    (2022-08-23 14:14:25)
1st digit = Sprint number
2nd digit = Task number in this sprint</t>
        </r>
      </text>
    </comment>
    <comment ref="B7" authorId="0" shapeId="0" xr:uid="{00000000-0006-0000-0200-000002000000}">
      <text>
        <r>
          <rPr>
            <sz val="10"/>
            <color theme="1"/>
            <rFont val="Calibri"/>
            <family val="2"/>
            <scheme val="minor"/>
          </rPr>
          <t>======
ID#AAAAeu_Dbls
jan samuelsson    (2022-08-23 14:14:25)
Reference to the product backlog item you have decided to do in this sprint.
Usually a PB item is then divided into a number of Sprint tasks.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WrolsW5aRhOuIBFtNnXFSvmko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300-000001000000}">
      <text>
        <r>
          <rPr>
            <sz val="10"/>
            <color theme="1"/>
            <rFont val="Calibri"/>
            <family val="2"/>
            <scheme val="minor"/>
          </rPr>
          <t>======
ID#AAABW84Drls
jan samuelsson    (2022-08-23 14:14:25)
1st digit = Sprint number
2nd digit = Task number in this sprint</t>
        </r>
      </text>
    </comment>
    <comment ref="B7" authorId="0" shapeId="0" xr:uid="{00000000-0006-0000-0300-000002000000}">
      <text>
        <r>
          <rPr>
            <sz val="10"/>
            <color theme="1"/>
            <rFont val="Calibri"/>
            <family val="2"/>
            <scheme val="minor"/>
          </rPr>
          <t>======
ID#AAABW84Drlo
jan samuelsson    (2022-08-23 14:14:25)
Reference to the product backlog item you have decided to do in this sprint.
Usually a PB item is then divided into a number of Sprint tasks.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7nBsnFvc11gyr58Bp+lljd3wIA=="/>
    </ext>
  </extLst>
</comments>
</file>

<file path=xl/sharedStrings.xml><?xml version="1.0" encoding="utf-8"?>
<sst xmlns="http://schemas.openxmlformats.org/spreadsheetml/2006/main" count="1265" uniqueCount="296">
  <si>
    <t>Scrum Project</t>
  </si>
  <si>
    <t>Product</t>
  </si>
  <si>
    <t>Active versions</t>
  </si>
  <si>
    <t>2.0</t>
  </si>
  <si>
    <t>Team</t>
  </si>
  <si>
    <t>Scrum Master</t>
  </si>
  <si>
    <t>Developers</t>
  </si>
  <si>
    <t>Projects</t>
  </si>
  <si>
    <t>Sprint Plan</t>
  </si>
  <si>
    <t>Id</t>
  </si>
  <si>
    <t>Description</t>
  </si>
  <si>
    <t>Start</t>
  </si>
  <si>
    <t>End</t>
  </si>
  <si>
    <t>Status</t>
  </si>
  <si>
    <t>Remarks</t>
  </si>
  <si>
    <t>Sprint</t>
  </si>
  <si>
    <t>Work planned (Committed)</t>
  </si>
  <si>
    <t>Work spent (Delivered)</t>
  </si>
  <si>
    <t>Done</t>
  </si>
  <si>
    <t>Completed</t>
  </si>
  <si>
    <t>Sprint 1</t>
  </si>
  <si>
    <t>Sprint 2</t>
  </si>
  <si>
    <t>Sprint 3</t>
  </si>
  <si>
    <t>Sprint 4</t>
  </si>
  <si>
    <t>Project meeting</t>
  </si>
  <si>
    <t>Final realease</t>
  </si>
  <si>
    <t>Product Backlog</t>
  </si>
  <si>
    <t>Owner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</si>
  <si>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</si>
  <si>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</si>
  <si>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</si>
  <si>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</si>
  <si>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</si>
  <si>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</si>
  <si>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</si>
  <si>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</si>
  <si>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</si>
  <si>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</si>
  <si>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</si>
  <si>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</si>
  <si>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</si>
  <si>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</si>
  <si>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</si>
  <si>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</si>
  <si>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</si>
  <si>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</si>
  <si>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</si>
  <si>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</si>
  <si>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</si>
  <si>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</si>
  <si>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</si>
  <si>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</si>
  <si>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</si>
  <si>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</si>
  <si>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</si>
  <si>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PB29</t>
  </si>
  <si>
    <t>PB30</t>
  </si>
  <si>
    <t>Forgot password</t>
  </si>
  <si>
    <t>Sprint Backlog 1</t>
  </si>
  <si>
    <t>Sprint Id</t>
  </si>
  <si>
    <t>Backlog Id</t>
  </si>
  <si>
    <t>Estimate (Hours)</t>
  </si>
  <si>
    <t>Pending</t>
  </si>
  <si>
    <t>Total effort</t>
  </si>
  <si>
    <t>Effort vs. 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</si>
  <si>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</si>
  <si>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</si>
  <si>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</si>
  <si>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</si>
  <si>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</si>
  <si>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</si>
  <si>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</si>
  <si>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</si>
  <si>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</si>
  <si>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</si>
  <si>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</si>
  <si>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</si>
  <si>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</si>
  <si>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</si>
  <si>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</si>
  <si>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</si>
  <si>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</si>
  <si>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</si>
  <si>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</si>
  <si>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</si>
  <si>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</si>
  <si>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Design UI</t>
  </si>
  <si>
    <t>Write API create</t>
  </si>
  <si>
    <t>Write test case</t>
  </si>
  <si>
    <t>None</t>
  </si>
  <si>
    <t>Not Started</t>
  </si>
  <si>
    <t>Test &amp; Fix</t>
  </si>
  <si>
    <t>Thang</t>
  </si>
  <si>
    <t>Total</t>
  </si>
  <si>
    <t>Burn down</t>
  </si>
  <si>
    <t>Burn up</t>
  </si>
  <si>
    <t>Sprint Backlog 2</t>
  </si>
  <si>
    <t>Write API logout</t>
  </si>
  <si>
    <t>Sprint Backlog 3</t>
  </si>
  <si>
    <t>Sprint Backlog 4</t>
  </si>
  <si>
    <t>Day 22</t>
  </si>
  <si>
    <t>Day 23</t>
  </si>
  <si>
    <t>Day 24</t>
  </si>
  <si>
    <t>Day 25</t>
  </si>
  <si>
    <t>Day 26</t>
  </si>
  <si>
    <t>Thang, Huynh Minh</t>
  </si>
  <si>
    <t>Cuong, Truong Manh</t>
  </si>
  <si>
    <t>Product Owner</t>
  </si>
  <si>
    <t>Jan Samuelsson</t>
  </si>
  <si>
    <t>Other Stakeholders</t>
  </si>
  <si>
    <t>Personal User</t>
  </si>
  <si>
    <t>Login</t>
  </si>
  <si>
    <t>Login to website</t>
  </si>
  <si>
    <t>Recover password when forgot</t>
  </si>
  <si>
    <t>I can change my password into the new one and get my account back</t>
  </si>
  <si>
    <t>- Click "Forgot password" button
- Use the link sent to the account's email which registered in profile to change the new password</t>
  </si>
  <si>
    <t>Send verify account request</t>
  </si>
  <si>
    <t>Verify the account</t>
  </si>
  <si>
    <t>My account can look more reputable</t>
  </si>
  <si>
    <t>- Click "Send verify" button
- Send verification code to gmail account
- Enter the verification code that matches the code sent to gmail</t>
  </si>
  <si>
    <t>HomePage</t>
  </si>
  <si>
    <t>I can see an overview of available features and quickly navigate to what I need.</t>
  </si>
  <si>
    <t>- Successfully accessed HomePage
- Display main functions
- Navigate to another page</t>
  </si>
  <si>
    <t>Monitoring</t>
  </si>
  <si>
    <t>I can view real-time status or activity data relevant to my account or devices.</t>
  </si>
  <si>
    <t>- Go to Monitoring page
- Show activity data
- Details of each activity (if any)</t>
  </si>
  <si>
    <t>Weight and BMI</t>
  </si>
  <si>
    <t>I can look at my BMI and use that to change my diet or water intake.</t>
  </si>
  <si>
    <t>- Enter or update height, weight
- View BMI classification
- Show my BMI</t>
  </si>
  <si>
    <t>Doctor AI</t>
  </si>
  <si>
    <t>I can ask the doctor simple questions about my symptoms, whether they are serious and whether I should see a doctor.</t>
  </si>
  <si>
    <t>- Visit Ask a Doctor
- Submit a symptom question
- Get a severity rating</t>
  </si>
  <si>
    <t>Setting</t>
  </si>
  <si>
    <t>I want to access the settings</t>
  </si>
  <si>
    <t>I can change some personal information or language used</t>
  </si>
  <si>
    <t>- Go to personal settings page
- Edit personal information
- Change system language</t>
  </si>
  <si>
    <t>Blood pressure</t>
  </si>
  <si>
    <t>I want to access the blood pressure page</t>
  </si>
  <si>
    <t>I can check if my blood pressure changes during the day.</t>
  </si>
  <si>
    <t>- View current application
- Log changes during the day
- Enter pressure index (if not using device)</t>
  </si>
  <si>
    <t>Blood sugar</t>
  </si>
  <si>
    <t>I can check to see if my blood sugar fluctuates during the day.</t>
  </si>
  <si>
    <t>- View current blood sugar level
- Manually enter blood sugar level
- Track blood sugar fluctuations during the day</t>
  </si>
  <si>
    <t>Water Remind</t>
  </si>
  <si>
    <t>Ceceive regular reminders to drink water during the day</t>
  </si>
  <si>
    <t>I can maintain good hydration and improve my health</t>
  </si>
  <si>
    <t>- User can set daily water intake goal (e.g., 2000 ml/day)
- App automatically sends notifications every X hours
- User can log each time they drink water
- The dashboard updates hydration progress in percentage
- Option to enable/disable or customize reminder frequency</t>
  </si>
  <si>
    <t>Fall report log</t>
  </si>
  <si>
    <t>I can analyze my risk patterns</t>
  </si>
  <si>
    <t xml:space="preserve">- View fall history list
- Filter by date </t>
  </si>
  <si>
    <t>Alert</t>
  </si>
  <si>
    <t>I want to receive alerts from the app</t>
  </si>
  <si>
    <t>I can check if my user has a life-threatening fall.</t>
  </si>
  <si>
    <t>- Detect dangerous falls
- Send warnings to users (Change Alert button color)
- Record fall history</t>
  </si>
  <si>
    <t>Medical Contact</t>
  </si>
  <si>
    <t xml:space="preserve">Make an emergency call directly from the app </t>
  </si>
  <si>
    <t>I can quickly reach medical support</t>
  </si>
  <si>
    <t>- Afer receiving alert, user press button "Liên hệ y ế"
- System will make a call to the nearest hospital</t>
  </si>
  <si>
    <t>Admin</t>
  </si>
  <si>
    <t>I can login with my account as an administrator</t>
  </si>
  <si>
    <t>- Login with gmail
- Input data to enter:
+ Username accepted
+ Password accepted</t>
  </si>
  <si>
    <t>- Click "Send verify" button
- Send photos of ID Card in both side
- Send picture of user's face</t>
  </si>
  <si>
    <t>DashBoard</t>
  </si>
  <si>
    <t>I can see an overview of key system metrics and recent activity at a glance.</t>
  </si>
  <si>
    <t>- View dashboard overview
- View recent activity
- View the new users</t>
  </si>
  <si>
    <t>I can approve, edit, deactivate, or remove users when necessary</t>
  </si>
  <si>
    <t>- View user list
- Edit user
- Search or filter users</t>
  </si>
  <si>
    <t>Device management</t>
  </si>
  <si>
    <t>I can monitor their status, approve new devices, or disable malfunctioning ones</t>
  </si>
  <si>
    <t>- View device list
- Approve pending device
- Disable or remove device</t>
  </si>
  <si>
    <t>Registration approval</t>
  </si>
  <si>
    <t>I can check only valid users gain access to the system</t>
  </si>
  <si>
    <t>- View pending registrations
- Approve or reject registration
- View applicant details</t>
  </si>
  <si>
    <t>History of activities</t>
  </si>
  <si>
    <t>I can audit actions and track usage</t>
  </si>
  <si>
    <t>- View activity log
- View action details</t>
  </si>
  <si>
    <t>System</t>
  </si>
  <si>
    <t>Khoa</t>
  </si>
  <si>
    <t>Elderly Health Monitoring and Alert System</t>
  </si>
  <si>
    <t>Khoa, Nguyen Khac Nguyen</t>
  </si>
  <si>
    <t>Dung, Mai Van</t>
  </si>
  <si>
    <t>Cuong</t>
  </si>
  <si>
    <t>Dung</t>
  </si>
  <si>
    <t>Write API login</t>
  </si>
  <si>
    <t xml:space="preserve">Manage Accounts </t>
  </si>
  <si>
    <t>Initial</t>
  </si>
  <si>
    <t>Dec 20th,2025</t>
  </si>
  <si>
    <t>Dec 20th, 2025</t>
  </si>
  <si>
    <t>Aug 15th, 2025</t>
  </si>
  <si>
    <t>Aug 20th, 2025</t>
  </si>
  <si>
    <t>Dec 18th, 2025</t>
  </si>
  <si>
    <t>Dec 17th, 2025</t>
  </si>
  <si>
    <t>Aug 21th, 2025</t>
  </si>
  <si>
    <t>Duy, Vo Le</t>
  </si>
  <si>
    <t>Backend Arch</t>
  </si>
  <si>
    <t>Setup Backend Architecture</t>
  </si>
  <si>
    <t>The system has a stable API and DB connection.</t>
  </si>
  <si>
    <t>- Node.js environment ready
- API Gateway configured
- DB connection successful</t>
  </si>
  <si>
    <t>Establish Basic Database</t>
  </si>
  <si>
    <t>User data stored in DB</t>
  </si>
  <si>
    <t>Basic Database</t>
  </si>
  <si>
    <t>- PostgreSQL installed
- Users/Roles tables created</t>
  </si>
  <si>
    <t>Fall Alert Logic</t>
  </si>
  <si>
    <t>Detect Fall Logic</t>
  </si>
  <si>
    <t>System detects falls from sensors</t>
  </si>
  <si>
    <t>- Detect fall event from video/sensor
- Generate timestamp
- Trigger alert signal</t>
  </si>
  <si>
    <t>Video Handler</t>
  </si>
  <si>
    <t>Handle Video/Image</t>
  </si>
  <si>
    <t>Media processed from AI</t>
  </si>
  <si>
    <t>- Receive video stream
- Save file to storage server</t>
  </si>
  <si>
    <t xml:space="preserve">PB30 </t>
  </si>
  <si>
    <t>Cam Connect</t>
  </si>
  <si>
    <t>Connect Camera</t>
  </si>
  <si>
    <t>Real-time video streaming</t>
  </si>
  <si>
    <t>- IP Camera connected
- Stream viewable on backend</t>
  </si>
  <si>
    <t>Init Project</t>
  </si>
  <si>
    <t>Install Libs</t>
  </si>
  <si>
    <t>Config Env</t>
  </si>
  <si>
    <t>Setup Server</t>
  </si>
  <si>
    <t>Design ERD</t>
  </si>
  <si>
    <t>Install DB</t>
  </si>
  <si>
    <t>Create Schema</t>
  </si>
  <si>
    <t>Seed Data</t>
  </si>
  <si>
    <t>Estimate</t>
  </si>
  <si>
    <t>Effort vs Estimate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</si>
  <si>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</si>
  <si>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</si>
  <si>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</si>
  <si>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</si>
  <si>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</si>
  <si>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</si>
  <si>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</si>
  <si>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</si>
  <si>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</si>
  <si>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Integration frontend + backend</t>
  </si>
  <si>
    <t>Write frontend code</t>
  </si>
  <si>
    <t>Integration</t>
  </si>
  <si>
    <t>Review and approve or reject new user registrations</t>
  </si>
  <si>
    <t>Manage user accounts</t>
  </si>
  <si>
    <t>Review historical fall incidents</t>
  </si>
  <si>
    <t>Access to Visit the weight and BMI page</t>
  </si>
  <si>
    <t>Access the HomePage</t>
  </si>
  <si>
    <t>Access the Monitoring page</t>
  </si>
  <si>
    <t>View a dashboard</t>
  </si>
  <si>
    <t xml:space="preserve">Manage connected devices </t>
  </si>
  <si>
    <t>View the history of user or system activities</t>
  </si>
  <si>
    <t xml:space="preserve">Access to Visit the doctor AI </t>
  </si>
  <si>
    <t>Aug 31st, 2025</t>
  </si>
  <si>
    <t>Sep 1st, 2025</t>
  </si>
  <si>
    <t>Oct 5th, 2025</t>
  </si>
  <si>
    <t>Oct 6th, 2025</t>
  </si>
  <si>
    <t>Nov 15th, 2025</t>
  </si>
  <si>
    <t>Nov 16th, 2025</t>
  </si>
  <si>
    <t>Dec 10th, 2025</t>
  </si>
  <si>
    <t>Integration FE+BE</t>
  </si>
  <si>
    <t>Write FE code</t>
  </si>
  <si>
    <t>Write API</t>
  </si>
  <si>
    <t>Design Logic Flow</t>
  </si>
  <si>
    <t>Write Core Logic</t>
  </si>
  <si>
    <t>Day 27</t>
  </si>
  <si>
    <t>Day 28</t>
  </si>
  <si>
    <t>Day 29</t>
  </si>
  <si>
    <t>Day 30</t>
  </si>
  <si>
    <t>Day 31</t>
  </si>
  <si>
    <t>Day 32</t>
  </si>
  <si>
    <t>Analyze video processing requirements</t>
  </si>
  <si>
    <t>Design video processing pipeline</t>
  </si>
  <si>
    <t>Implement core video handler module</t>
  </si>
  <si>
    <t>Implement backend API for video I/O</t>
  </si>
  <si>
    <t>Write unit tests for core logic</t>
  </si>
  <si>
    <t>Performance test + Fixing</t>
  </si>
  <si>
    <t>Analyze camera protocols &amp; requirements</t>
  </si>
  <si>
    <t>Design camera connection architecture</t>
  </si>
  <si>
    <t>Implement camera connection module</t>
  </si>
  <si>
    <t>Implement streaming transport API</t>
  </si>
  <si>
    <t>Unit testing (network + streaming)</t>
  </si>
  <si>
    <t>Stability test &amp; Fix</t>
  </si>
  <si>
    <t>Ongoing</t>
  </si>
  <si>
    <t>Heading</t>
  </si>
  <si>
    <t>As a..</t>
  </si>
  <si>
    <t>I want to ..</t>
  </si>
  <si>
    <t>so that ..</t>
  </si>
  <si>
    <t>Acceptance Criteria</t>
  </si>
  <si>
    <t>Priority</t>
  </si>
  <si>
    <t>Sprint No</t>
  </si>
  <si>
    <t>Estimate
(Hours)</t>
  </si>
  <si>
    <t>Register</t>
  </si>
  <si>
    <t>Create an account</t>
  </si>
  <si>
    <t>I can login with my own account to access the website</t>
  </si>
  <si>
    <t>- Username must not contain spaces and not be accented
- Password must be &gt; 8 characters, &lt; 16 characters include uppercase letters, lowercase letters, numbers and special characters.</t>
  </si>
  <si>
    <t>To access my HomePage</t>
  </si>
  <si>
    <t>- Login with facebook and gmail
- Input data to enter:
+ Username accepted
+ Password accepted</t>
  </si>
  <si>
    <t>Log out</t>
  </si>
  <si>
    <t>Log out from the currently account</t>
  </si>
  <si>
    <t>I can exit my account whenever I want</t>
  </si>
  <si>
    <t>- Click the "log out" button
- Exit from the currently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</si>
</sst>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d/mmm/yy"/>
    <numFmt numFmtId="165" formatCode="dd/mm"/>
    <numFmt numFmtId="166" formatCode="d/m"/>
  </numFmts>
  <fonts count="33" x14ac:knownFonts="1">
    <font>
      <sz val="10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  <charset val="163"/>
    </font>
    <font>
      <sz val="9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</fonts>
  <fills count="2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B6D7A8"/>
        <bgColor rgb="FFB6D7A8"/>
      </patternFill>
    </fill>
    <fill>
      <patternFill patternType="solid">
        <fgColor rgb="FFFFD965"/>
        <bgColor rgb="FFFFD965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theme="7" tint="0.39997558519241921"/>
        <bgColor rgb="FF9CC2E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D9E2F3"/>
      </patternFill>
    </fill>
    <fill>
      <patternFill patternType="solid">
        <fgColor theme="8" tint="0.39997558519241921"/>
        <bgColor rgb="FFFFD965"/>
      </patternFill>
    </fill>
    <fill>
      <patternFill patternType="solid">
        <fgColor theme="7" tint="0.39997558519241921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rgb="FF9CC2E5"/>
      </patternFill>
    </fill>
    <fill>
      <patternFill patternType="solid">
        <fgColor theme="0"/>
        <bgColor rgb="FFD6DCE4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C5E0B3"/>
      </patternFill>
    </fill>
    <fill>
      <patternFill patternType="solid">
        <fgColor theme="9" tint="0.39997558519241921"/>
        <bgColor rgb="FF9CC2E5"/>
      </patternFill>
    </fill>
    <fill>
      <patternFill patternType="solid">
        <fgColor theme="9" tint="0.39997558519241921"/>
        <bgColor rgb="FFFFD965"/>
      </patternFill>
    </fill>
    <fill>
      <patternFill patternType="solid">
        <fgColor theme="9" tint="0.39997558519241921"/>
        <bgColor rgb="FFC5E0B3"/>
      </patternFill>
    </fill>
    <fill>
      <patternFill patternType="solid">
        <fgColor rgb="FFC8C8C8"/>
        <bgColor rgb="FFC8C8C8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5">
    <xf numFmtId="0" fontId="0" fillId="0" borderId="0"/>
    <xf numFmtId="0" fontId="15" fillId="0" borderId="2"/>
    <xf numFmtId="0" fontId="3" fillId="0" borderId="2"/>
    <xf numFmtId="0" fontId="2" fillId="0" borderId="2"/>
    <xf numFmtId="0" fontId="1" fillId="0" borderId="2"/>
  </cellStyleXfs>
  <cellXfs count="181">
    <xf numFmtId="0" fontId="0" fillId="0" borderId="0" xfId="0"/>
    <xf numFmtId="0" fontId="4" fillId="0" borderId="0" xfId="0" applyFont="1"/>
    <xf numFmtId="0" fontId="6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8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165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vertical="top"/>
    </xf>
    <xf numFmtId="0" fontId="14" fillId="0" borderId="1" xfId="0" applyFont="1" applyBorder="1"/>
    <xf numFmtId="0" fontId="15" fillId="0" borderId="4" xfId="0" applyFont="1" applyBorder="1" applyAlignment="1">
      <alignment wrapText="1"/>
    </xf>
    <xf numFmtId="0" fontId="15" fillId="0" borderId="4" xfId="1" applyBorder="1"/>
    <xf numFmtId="0" fontId="16" fillId="11" borderId="5" xfId="1" applyFont="1" applyFill="1" applyBorder="1" applyAlignment="1">
      <alignment horizontal="right"/>
    </xf>
    <xf numFmtId="0" fontId="15" fillId="0" borderId="4" xfId="0" applyFont="1" applyBorder="1"/>
    <xf numFmtId="0" fontId="16" fillId="11" borderId="4" xfId="1" applyFont="1" applyFill="1" applyBorder="1" applyAlignment="1">
      <alignment horizontal="right"/>
    </xf>
    <xf numFmtId="0" fontId="15" fillId="0" borderId="2" xfId="1"/>
    <xf numFmtId="0" fontId="7" fillId="12" borderId="2" xfId="0" applyFont="1" applyFill="1" applyBorder="1" applyAlignment="1">
      <alignment horizontal="right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horizontal="left" vertical="center" wrapText="1"/>
    </xf>
    <xf numFmtId="0" fontId="18" fillId="0" borderId="4" xfId="0" quotePrefix="1" applyFont="1" applyBorder="1" applyAlignment="1" applyProtection="1">
      <alignment horizontal="left" vertical="center" wrapText="1"/>
      <protection locked="0"/>
    </xf>
    <xf numFmtId="0" fontId="19" fillId="0" borderId="4" xfId="0" applyFont="1" applyBorder="1" applyAlignment="1">
      <alignment horizontal="left" vertical="center" wrapText="1"/>
    </xf>
    <xf numFmtId="0" fontId="18" fillId="0" borderId="6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18" fillId="16" borderId="4" xfId="0" applyFont="1" applyFill="1" applyBorder="1" applyAlignment="1">
      <alignment horizontal="center" vertical="center" wrapText="1"/>
    </xf>
    <xf numFmtId="0" fontId="18" fillId="16" borderId="4" xfId="0" applyFont="1" applyFill="1" applyBorder="1" applyAlignment="1">
      <alignment vertical="center" wrapText="1"/>
    </xf>
    <xf numFmtId="0" fontId="18" fillId="17" borderId="4" xfId="0" applyFont="1" applyFill="1" applyBorder="1" applyAlignment="1">
      <alignment vertical="center" wrapText="1"/>
    </xf>
    <xf numFmtId="0" fontId="18" fillId="0" borderId="4" xfId="0" applyFont="1" applyBorder="1" applyAlignment="1">
      <alignment horizontal="center"/>
    </xf>
    <xf numFmtId="0" fontId="18" fillId="0" borderId="4" xfId="0" applyFont="1" applyBorder="1"/>
    <xf numFmtId="0" fontId="18" fillId="15" borderId="4" xfId="2" applyFont="1" applyFill="1" applyBorder="1" applyAlignment="1">
      <alignment horizontal="center"/>
    </xf>
    <xf numFmtId="0" fontId="18" fillId="15" borderId="4" xfId="2" applyFont="1" applyFill="1" applyBorder="1"/>
    <xf numFmtId="0" fontId="18" fillId="17" borderId="4" xfId="2" applyFont="1" applyFill="1" applyBorder="1"/>
    <xf numFmtId="0" fontId="18" fillId="16" borderId="4" xfId="2" applyFont="1" applyFill="1" applyBorder="1" applyAlignment="1">
      <alignment horizontal="center"/>
    </xf>
    <xf numFmtId="0" fontId="18" fillId="16" borderId="4" xfId="2" applyFont="1" applyFill="1" applyBorder="1"/>
    <xf numFmtId="0" fontId="18" fillId="25" borderId="4" xfId="0" applyFont="1" applyFill="1" applyBorder="1" applyAlignment="1">
      <alignment horizontal="center" vertical="center"/>
    </xf>
    <xf numFmtId="0" fontId="18" fillId="25" borderId="4" xfId="0" applyFont="1" applyFill="1" applyBorder="1" applyAlignment="1">
      <alignment horizontal="center"/>
    </xf>
    <xf numFmtId="0" fontId="18" fillId="25" borderId="4" xfId="0" applyFont="1" applyFill="1" applyBorder="1"/>
    <xf numFmtId="0" fontId="18" fillId="17" borderId="4" xfId="0" applyFont="1" applyFill="1" applyBorder="1"/>
    <xf numFmtId="0" fontId="18" fillId="24" borderId="4" xfId="0" applyFont="1" applyFill="1" applyBorder="1" applyAlignment="1">
      <alignment horizontal="center" vertical="center"/>
    </xf>
    <xf numFmtId="0" fontId="18" fillId="24" borderId="4" xfId="0" applyFont="1" applyFill="1" applyBorder="1" applyAlignment="1">
      <alignment horizontal="center"/>
    </xf>
    <xf numFmtId="0" fontId="18" fillId="24" borderId="4" xfId="0" applyFont="1" applyFill="1" applyBorder="1"/>
    <xf numFmtId="0" fontId="18" fillId="24" borderId="4" xfId="0" quotePrefix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9" borderId="2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/>
    </xf>
    <xf numFmtId="0" fontId="18" fillId="9" borderId="2" xfId="0" applyFont="1" applyFill="1" applyBorder="1"/>
    <xf numFmtId="0" fontId="21" fillId="0" borderId="0" xfId="0" applyFont="1"/>
    <xf numFmtId="0" fontId="18" fillId="15" borderId="4" xfId="0" applyFont="1" applyFill="1" applyBorder="1"/>
    <xf numFmtId="0" fontId="18" fillId="16" borderId="4" xfId="0" applyFont="1" applyFill="1" applyBorder="1"/>
    <xf numFmtId="0" fontId="18" fillId="16" borderId="4" xfId="0" applyFont="1" applyFill="1" applyBorder="1" applyAlignment="1">
      <alignment horizontal="center"/>
    </xf>
    <xf numFmtId="0" fontId="18" fillId="15" borderId="4" xfId="0" applyFont="1" applyFill="1" applyBorder="1" applyAlignment="1">
      <alignment horizontal="center"/>
    </xf>
    <xf numFmtId="0" fontId="18" fillId="0" borderId="4" xfId="0" applyFont="1" applyBorder="1" applyAlignment="1">
      <alignment vertical="center" wrapText="1"/>
    </xf>
    <xf numFmtId="0" fontId="18" fillId="18" borderId="4" xfId="0" applyFont="1" applyFill="1" applyBorder="1" applyAlignment="1">
      <alignment horizontal="center" vertical="center" wrapText="1"/>
    </xf>
    <xf numFmtId="0" fontId="18" fillId="18" borderId="4" xfId="4" applyFont="1" applyFill="1" applyBorder="1"/>
    <xf numFmtId="0" fontId="18" fillId="0" borderId="4" xfId="4" applyFont="1" applyBorder="1"/>
    <xf numFmtId="0" fontId="18" fillId="18" borderId="4" xfId="4" applyFont="1" applyFill="1" applyBorder="1" applyAlignment="1">
      <alignment horizont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8" fillId="0" borderId="3" xfId="0" applyFont="1" applyBorder="1" applyAlignment="1">
      <alignment horizontal="left" vertical="center"/>
    </xf>
    <xf numFmtId="0" fontId="18" fillId="0" borderId="8" xfId="0" applyFont="1" applyBorder="1" applyAlignment="1">
      <alignment vertical="center"/>
    </xf>
    <xf numFmtId="0" fontId="18" fillId="0" borderId="2" xfId="0" applyFont="1" applyBorder="1"/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9" borderId="2" xfId="0" applyFont="1" applyFill="1" applyBorder="1" applyAlignment="1">
      <alignment horizontal="center"/>
    </xf>
    <xf numFmtId="0" fontId="23" fillId="9" borderId="2" xfId="0" applyFont="1" applyFill="1" applyBorder="1"/>
    <xf numFmtId="0" fontId="4" fillId="0" borderId="2" xfId="0" applyFont="1" applyBorder="1"/>
    <xf numFmtId="0" fontId="14" fillId="0" borderId="4" xfId="0" applyFont="1" applyBorder="1"/>
    <xf numFmtId="0" fontId="6" fillId="0" borderId="2" xfId="0" applyFont="1" applyBorder="1"/>
    <xf numFmtId="0" fontId="7" fillId="2" borderId="4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4" fillId="0" borderId="4" xfId="0" applyFont="1" applyBorder="1"/>
    <xf numFmtId="0" fontId="23" fillId="9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5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textRotation="90" wrapText="1"/>
    </xf>
    <xf numFmtId="0" fontId="18" fillId="8" borderId="4" xfId="0" applyFont="1" applyFill="1" applyBorder="1" applyAlignment="1">
      <alignment horizontal="center"/>
    </xf>
    <xf numFmtId="0" fontId="21" fillId="9" borderId="4" xfId="0" applyFont="1" applyFill="1" applyBorder="1" applyAlignment="1">
      <alignment horizontal="right"/>
    </xf>
    <xf numFmtId="0" fontId="18" fillId="9" borderId="4" xfId="0" applyFont="1" applyFill="1" applyBorder="1" applyAlignment="1">
      <alignment horizontal="center"/>
    </xf>
    <xf numFmtId="0" fontId="18" fillId="8" borderId="4" xfId="0" applyFont="1" applyFill="1" applyBorder="1" applyAlignment="1">
      <alignment horizontal="center" vertical="center"/>
    </xf>
    <xf numFmtId="0" fontId="18" fillId="8" borderId="4" xfId="0" applyFont="1" applyFill="1" applyBorder="1"/>
    <xf numFmtId="0" fontId="18" fillId="7" borderId="4" xfId="0" applyFont="1" applyFill="1" applyBorder="1" applyAlignment="1">
      <alignment horizontal="center" vertical="center"/>
    </xf>
    <xf numFmtId="0" fontId="18" fillId="7" borderId="4" xfId="0" applyFont="1" applyFill="1" applyBorder="1" applyAlignment="1">
      <alignment horizontal="center"/>
    </xf>
    <xf numFmtId="0" fontId="18" fillId="7" borderId="4" xfId="0" applyFont="1" applyFill="1" applyBorder="1" applyAlignment="1">
      <alignment wrapText="1"/>
    </xf>
    <xf numFmtId="0" fontId="18" fillId="21" borderId="4" xfId="0" applyFont="1" applyFill="1" applyBorder="1" applyAlignment="1">
      <alignment horizontal="center"/>
    </xf>
    <xf numFmtId="0" fontId="18" fillId="7" borderId="4" xfId="0" applyFont="1" applyFill="1" applyBorder="1"/>
    <xf numFmtId="0" fontId="18" fillId="14" borderId="4" xfId="0" applyFont="1" applyFill="1" applyBorder="1" applyAlignment="1">
      <alignment horizontal="center"/>
    </xf>
    <xf numFmtId="0" fontId="18" fillId="13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horizontal="center"/>
    </xf>
    <xf numFmtId="0" fontId="18" fillId="13" borderId="4" xfId="0" applyFont="1" applyFill="1" applyBorder="1"/>
    <xf numFmtId="0" fontId="18" fillId="5" borderId="4" xfId="0" applyFont="1" applyFill="1" applyBorder="1" applyAlignment="1">
      <alignment horizontal="center"/>
    </xf>
    <xf numFmtId="0" fontId="18" fillId="5" borderId="4" xfId="0" applyFont="1" applyFill="1" applyBorder="1" applyAlignment="1">
      <alignment wrapText="1"/>
    </xf>
    <xf numFmtId="0" fontId="18" fillId="22" borderId="4" xfId="0" applyFont="1" applyFill="1" applyBorder="1" applyAlignment="1">
      <alignment horizontal="center"/>
    </xf>
    <xf numFmtId="0" fontId="18" fillId="19" borderId="4" xfId="0" applyFont="1" applyFill="1" applyBorder="1" applyAlignment="1">
      <alignment horizontal="left" wrapText="1"/>
    </xf>
    <xf numFmtId="0" fontId="18" fillId="5" borderId="4" xfId="0" applyFont="1" applyFill="1" applyBorder="1"/>
    <xf numFmtId="0" fontId="18" fillId="10" borderId="4" xfId="0" applyFont="1" applyFill="1" applyBorder="1" applyAlignment="1">
      <alignment horizontal="center"/>
    </xf>
    <xf numFmtId="0" fontId="18" fillId="10" borderId="4" xfId="0" applyFont="1" applyFill="1" applyBorder="1"/>
    <xf numFmtId="0" fontId="18" fillId="14" borderId="4" xfId="0" applyFont="1" applyFill="1" applyBorder="1" applyAlignment="1">
      <alignment wrapText="1"/>
    </xf>
    <xf numFmtId="0" fontId="18" fillId="14" borderId="4" xfId="0" applyFont="1" applyFill="1" applyBorder="1"/>
    <xf numFmtId="0" fontId="18" fillId="24" borderId="4" xfId="0" applyFont="1" applyFill="1" applyBorder="1" applyAlignment="1">
      <alignment wrapText="1"/>
    </xf>
    <xf numFmtId="0" fontId="18" fillId="25" borderId="4" xfId="0" applyFont="1" applyFill="1" applyBorder="1" applyAlignment="1">
      <alignment wrapText="1"/>
    </xf>
    <xf numFmtId="0" fontId="18" fillId="26" borderId="4" xfId="0" applyFont="1" applyFill="1" applyBorder="1" applyAlignment="1">
      <alignment horizontal="center"/>
    </xf>
    <xf numFmtId="0" fontId="18" fillId="26" borderId="4" xfId="0" applyFont="1" applyFill="1" applyBorder="1"/>
    <xf numFmtId="0" fontId="18" fillId="23" borderId="4" xfId="0" applyFont="1" applyFill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18" fillId="20" borderId="4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 vertical="center"/>
    </xf>
    <xf numFmtId="0" fontId="18" fillId="5" borderId="4" xfId="0" quotePrefix="1" applyFont="1" applyFill="1" applyBorder="1" applyAlignment="1">
      <alignment horizontal="center" vertical="center"/>
    </xf>
    <xf numFmtId="0" fontId="18" fillId="13" borderId="4" xfId="0" applyFont="1" applyFill="1" applyBorder="1" applyAlignment="1">
      <alignment wrapText="1"/>
    </xf>
    <xf numFmtId="0" fontId="18" fillId="13" borderId="4" xfId="0" quotePrefix="1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wrapText="1"/>
    </xf>
    <xf numFmtId="0" fontId="18" fillId="10" borderId="4" xfId="0" quotePrefix="1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/>
    </xf>
    <xf numFmtId="0" fontId="23" fillId="8" borderId="4" xfId="0" applyFont="1" applyFill="1" applyBorder="1"/>
    <xf numFmtId="0" fontId="18" fillId="0" borderId="9" xfId="0" applyFont="1" applyBorder="1" applyAlignment="1">
      <alignment vertical="center"/>
    </xf>
    <xf numFmtId="0" fontId="0" fillId="0" borderId="2" xfId="0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10" fillId="0" borderId="2" xfId="0" applyFont="1" applyBorder="1"/>
    <xf numFmtId="0" fontId="9" fillId="0" borderId="2" xfId="0" applyFont="1" applyBorder="1" applyAlignment="1">
      <alignment vertical="center"/>
    </xf>
    <xf numFmtId="0" fontId="18" fillId="5" borderId="4" xfId="0" applyFont="1" applyFill="1" applyBorder="1" applyAlignment="1" applyProtection="1">
      <alignment horizontal="center" vertical="center" wrapText="1"/>
      <protection locked="0"/>
    </xf>
    <xf numFmtId="0" fontId="18" fillId="3" borderId="4" xfId="0" applyFont="1" applyFill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horizontal="left" vertical="center"/>
    </xf>
    <xf numFmtId="0" fontId="29" fillId="5" borderId="4" xfId="0" applyFont="1" applyFill="1" applyBorder="1" applyAlignment="1">
      <alignment horizontal="center" vertical="center"/>
    </xf>
    <xf numFmtId="0" fontId="29" fillId="27" borderId="4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left" vertical="center" wrapText="1"/>
      <protection locked="0"/>
    </xf>
    <xf numFmtId="0" fontId="30" fillId="0" borderId="4" xfId="0" applyFont="1" applyBorder="1" applyAlignment="1">
      <alignment vertical="center" wrapText="1"/>
    </xf>
    <xf numFmtId="0" fontId="18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18" fillId="0" borderId="4" xfId="0" applyFont="1" applyBorder="1" applyAlignment="1" applyProtection="1">
      <alignment vertical="center" wrapText="1"/>
      <protection locked="0"/>
    </xf>
    <xf numFmtId="0" fontId="30" fillId="0" borderId="4" xfId="0" applyFont="1" applyBorder="1" applyAlignment="1">
      <alignment vertical="center"/>
    </xf>
    <xf numFmtId="0" fontId="30" fillId="0" borderId="4" xfId="0" applyFont="1" applyBorder="1" applyAlignment="1">
      <alignment horizontal="center" vertical="center"/>
    </xf>
    <xf numFmtId="0" fontId="18" fillId="0" borderId="4" xfId="0" quotePrefix="1" applyFont="1" applyBorder="1" applyAlignment="1" applyProtection="1">
      <alignment vertical="center" wrapText="1"/>
      <protection locked="0"/>
    </xf>
    <xf numFmtId="0" fontId="18" fillId="6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32" fillId="3" borderId="4" xfId="0" applyFont="1" applyFill="1" applyBorder="1" applyAlignment="1">
      <alignment horizontal="center" vertical="center" wrapText="1"/>
    </xf>
    <xf numFmtId="0" fontId="31" fillId="0" borderId="0" xfId="0" applyFont="1"/>
    <xf numFmtId="0" fontId="31" fillId="0" borderId="2" xfId="0" applyFont="1" applyBorder="1"/>
    <xf numFmtId="0" fontId="26" fillId="0" borderId="0" xfId="0" applyFont="1" applyAlignment="1">
      <alignment horizontal="left" vertical="center"/>
    </xf>
    <xf numFmtId="0" fontId="23" fillId="0" borderId="0" xfId="0" applyFont="1" applyAlignment="1">
      <alignment wrapText="1"/>
    </xf>
    <xf numFmtId="0" fontId="23" fillId="0" borderId="0" xfId="0" applyFont="1"/>
    <xf numFmtId="0" fontId="28" fillId="0" borderId="2" xfId="0" applyFont="1" applyBorder="1"/>
    <xf numFmtId="0" fontId="23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horizontal="center" wrapText="1"/>
    </xf>
    <xf numFmtId="0" fontId="23" fillId="0" borderId="0" xfId="0" applyFont="1" applyAlignment="1">
      <alignment horizontal="left" wrapText="1"/>
    </xf>
    <xf numFmtId="0" fontId="21" fillId="0" borderId="0" xfId="0" applyFont="1" applyAlignment="1">
      <alignment horizontal="left"/>
    </xf>
    <xf numFmtId="0" fontId="18" fillId="0" borderId="0" xfId="0" applyFont="1" applyAlignment="1">
      <alignment wrapText="1"/>
    </xf>
    <xf numFmtId="0" fontId="18" fillId="0" borderId="0" xfId="0" applyFont="1"/>
    <xf numFmtId="0" fontId="22" fillId="0" borderId="2" xfId="0" applyFont="1" applyBorder="1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5">
    <cellStyle name="Normal" xfId="0" builtinId="0"/>
    <cellStyle name="Normal 2" xfId="1" xr:uid="{99016ACA-0C80-41E2-B187-A129AFF53295}"/>
    <cellStyle name="Normal 3" xfId="2" xr:uid="{57D01D3C-E98B-4EC3-ABDD-049416934761}"/>
    <cellStyle name="Normal 4" xfId="3" xr:uid="{C24B569D-3672-4D1F-A4F7-973AFEA7E198}"/>
    <cellStyle name="Normal 5" xfId="4" xr:uid="{2E81BCD9-85E5-4241-90D5-90442B990A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2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0">
                <a:solidFill>
                  <a:schemeClr val="dk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 Down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900590551181104E-2"/>
          <c:y val="0.11639189632545932"/>
          <c:w val="0.89056308977711729"/>
          <c:h val="0.6785829505686789"/>
        </c:manualLayout>
      </c:layout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5-4684-8690-8AE2698F4B28}"/>
            </c:ext>
          </c:extLst>
        </c:ser>
        <c:ser>
          <c:idx val="7"/>
          <c:order val="1"/>
          <c:spPr>
            <a:ln w="19050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1F5-4684-8690-8AE2698F4B28}"/>
            </c:ext>
          </c:extLst>
        </c:ser>
        <c:ser>
          <c:idx val="20"/>
          <c:order val="2"/>
          <c:spPr>
            <a:ln w="19050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1F5-4684-8690-8AE2698F4B28}"/>
            </c:ext>
          </c:extLst>
        </c:ser>
        <c:ser>
          <c:idx val="21"/>
          <c:order val="3"/>
          <c:spPr>
            <a:ln w="19050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1F5-4684-8690-8AE2698F4B28}"/>
            </c:ext>
          </c:extLst>
        </c:ser>
        <c:ser>
          <c:idx val="22"/>
          <c:order val="4"/>
          <c:spPr>
            <a:ln w="19050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1F5-4684-8690-8AE2698F4B28}"/>
            </c:ext>
          </c:extLst>
        </c:ser>
        <c:ser>
          <c:idx val="23"/>
          <c:order val="5"/>
          <c:spPr>
            <a:ln w="19050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1F5-4684-8690-8AE2698F4B28}"/>
            </c:ext>
          </c:extLst>
        </c:ser>
        <c:ser>
          <c:idx val="24"/>
          <c:order val="6"/>
          <c:spPr>
            <a:ln w="19050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1F5-4684-8690-8AE2698F4B28}"/>
            </c:ext>
          </c:extLst>
        </c:ser>
        <c:ser>
          <c:idx val="25"/>
          <c:order val="7"/>
          <c:spPr>
            <a:ln w="19050" cap="rnd" cmpd="sng" algn="ctr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1F5-4684-8690-8AE2698F4B28}"/>
            </c:ext>
          </c:extLst>
        </c:ser>
        <c:ser>
          <c:idx val="26"/>
          <c:order val="8"/>
          <c:spPr>
            <a:ln w="19050" cap="rnd" cmpd="sng" algn="ctr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1F5-4684-8690-8AE2698F4B28}"/>
            </c:ext>
          </c:extLst>
        </c:ser>
        <c:ser>
          <c:idx val="27"/>
          <c:order val="9"/>
          <c:spPr>
            <a:ln w="19050" cap="rnd" cmpd="sng" algn="ctr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81F5-4684-8690-8AE2698F4B28}"/>
            </c:ext>
          </c:extLst>
        </c:ser>
        <c:ser>
          <c:idx val="28"/>
          <c:order val="10"/>
          <c:spPr>
            <a:ln w="19050" cap="rnd" cmpd="sng" algn="ctr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1F5-4684-8690-8AE2698F4B28}"/>
            </c:ext>
          </c:extLst>
        </c:ser>
        <c:ser>
          <c:idx val="29"/>
          <c:order val="11"/>
          <c:spPr>
            <a:ln w="19050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1F5-4684-8690-8AE2698F4B28}"/>
            </c:ext>
          </c:extLst>
        </c:ser>
        <c:ser>
          <c:idx val="30"/>
          <c:order val="12"/>
          <c:spPr>
            <a:ln w="19050" cap="rnd" cmpd="sng" algn="ctr">
              <a:solidFill>
                <a:schemeClr val="accent1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1F5-4684-8690-8AE2698F4B28}"/>
            </c:ext>
          </c:extLst>
        </c:ser>
        <c:ser>
          <c:idx val="31"/>
          <c:order val="13"/>
          <c:spPr>
            <a:ln w="19050" cap="rnd" cmpd="sng" algn="ctr">
              <a:solidFill>
                <a:schemeClr val="accent2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81F5-4684-8690-8AE2698F4B28}"/>
            </c:ext>
          </c:extLst>
        </c:ser>
        <c:ser>
          <c:idx val="32"/>
          <c:order val="14"/>
          <c:spPr>
            <a:ln w="19050" cap="rnd" cmpd="sng" algn="ctr">
              <a:solidFill>
                <a:schemeClr val="accent3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1F5-4684-8690-8AE2698F4B28}"/>
            </c:ext>
          </c:extLst>
        </c:ser>
        <c:ser>
          <c:idx val="33"/>
          <c:order val="15"/>
          <c:spPr>
            <a:ln w="19050" cap="rnd" cmpd="sng" algn="ctr">
              <a:solidFill>
                <a:schemeClr val="accent4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81F5-4684-8690-8AE2698F4B28}"/>
            </c:ext>
          </c:extLst>
        </c:ser>
        <c:ser>
          <c:idx val="34"/>
          <c:order val="16"/>
          <c:spPr>
            <a:ln w="19050" cap="rnd" cmpd="sng" algn="ctr">
              <a:solidFill>
                <a:schemeClr val="accent5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1F5-4684-8690-8AE2698F4B28}"/>
            </c:ext>
          </c:extLst>
        </c:ser>
        <c:ser>
          <c:idx val="35"/>
          <c:order val="17"/>
          <c:spPr>
            <a:ln w="19050" cap="rnd" cmpd="sng" algn="ctr">
              <a:solidFill>
                <a:schemeClr val="accent6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81F5-4684-8690-8AE2698F4B28}"/>
            </c:ext>
          </c:extLst>
        </c:ser>
        <c:ser>
          <c:idx val="36"/>
          <c:order val="18"/>
          <c:spPr>
            <a:ln w="19050" cap="rnd" cmpd="sng" algn="ctr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1F5-4684-8690-8AE2698F4B28}"/>
            </c:ext>
          </c:extLst>
        </c:ser>
        <c:ser>
          <c:idx val="37"/>
          <c:order val="19"/>
          <c:spPr>
            <a:ln w="19050" cap="rnd" cmpd="sng" algn="ctr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81F5-4684-8690-8AE2698F4B28}"/>
            </c:ext>
          </c:extLst>
        </c:ser>
        <c:ser>
          <c:idx val="38"/>
          <c:order val="20"/>
          <c:spPr>
            <a:ln w="19050" cap="rnd" cmpd="sng" algn="ctr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1F5-4684-8690-8AE2698F4B28}"/>
            </c:ext>
          </c:extLst>
        </c:ser>
        <c:ser>
          <c:idx val="39"/>
          <c:order val="21"/>
          <c:spPr>
            <a:ln w="19050" cap="rnd" cmpd="sng" algn="ctr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81F5-4684-8690-8AE2698F4B28}"/>
            </c:ext>
          </c:extLst>
        </c:ser>
        <c:ser>
          <c:idx val="40"/>
          <c:order val="22"/>
          <c:spPr>
            <a:ln w="19050" cap="rnd" cmpd="sng" algn="ctr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1F5-4684-8690-8AE2698F4B28}"/>
            </c:ext>
          </c:extLst>
        </c:ser>
        <c:ser>
          <c:idx val="41"/>
          <c:order val="23"/>
          <c:spPr>
            <a:ln w="19050" cap="rnd" cmpd="sng" algn="ctr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81F5-4684-8690-8AE2698F4B28}"/>
            </c:ext>
          </c:extLst>
        </c:ser>
        <c:ser>
          <c:idx val="42"/>
          <c:order val="24"/>
          <c:spPr>
            <a:ln w="19050" cap="rnd" cmpd="sng" algn="ctr">
              <a:solidFill>
                <a:schemeClr val="accent1">
                  <a:lumMod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1F5-4684-8690-8AE2698F4B28}"/>
            </c:ext>
          </c:extLst>
        </c:ser>
        <c:ser>
          <c:idx val="43"/>
          <c:order val="25"/>
          <c:spPr>
            <a:ln w="19050" cap="rnd" cmpd="sng" algn="ctr">
              <a:solidFill>
                <a:schemeClr val="accent2">
                  <a:lumMod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81F5-4684-8690-8AE2698F4B28}"/>
            </c:ext>
          </c:extLst>
        </c:ser>
        <c:ser>
          <c:idx val="44"/>
          <c:order val="26"/>
          <c:spPr>
            <a:ln w="19050" cap="rnd" cmpd="sng" algn="ctr">
              <a:solidFill>
                <a:schemeClr val="accent3">
                  <a:lumMod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1F5-4684-8690-8AE2698F4B28}"/>
            </c:ext>
          </c:extLst>
        </c:ser>
        <c:ser>
          <c:idx val="45"/>
          <c:order val="27"/>
          <c:spPr>
            <a:ln w="19050" cap="rnd" cmpd="sng" algn="ctr">
              <a:solidFill>
                <a:schemeClr val="accent4">
                  <a:lumMod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81F5-4684-8690-8AE2698F4B28}"/>
            </c:ext>
          </c:extLst>
        </c:ser>
        <c:ser>
          <c:idx val="46"/>
          <c:order val="28"/>
          <c:spPr>
            <a:ln w="19050" cap="rnd" cmpd="sng" algn="ctr">
              <a:solidFill>
                <a:schemeClr val="accent5">
                  <a:lumMod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1F5-4684-8690-8AE2698F4B28}"/>
            </c:ext>
          </c:extLst>
        </c:ser>
        <c:ser>
          <c:idx val="47"/>
          <c:order val="29"/>
          <c:spPr>
            <a:ln w="19050" cap="rnd" cmpd="sng" algn="ctr">
              <a:solidFill>
                <a:schemeClr val="accent6">
                  <a:lumMod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81F5-4684-8690-8AE2698F4B28}"/>
            </c:ext>
          </c:extLst>
        </c:ser>
        <c:ser>
          <c:idx val="48"/>
          <c:order val="30"/>
          <c:spPr>
            <a:ln w="19050" cap="rnd" cmpd="sng" algn="ctr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1F5-4684-8690-8AE2698F4B28}"/>
            </c:ext>
          </c:extLst>
        </c:ser>
        <c:ser>
          <c:idx val="49"/>
          <c:order val="31"/>
          <c:spPr>
            <a:ln w="19050" cap="rnd" cmpd="sng" algn="ctr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81F5-4684-8690-8AE2698F4B28}"/>
            </c:ext>
          </c:extLst>
        </c:ser>
        <c:ser>
          <c:idx val="68"/>
          <c:order val="32"/>
          <c:spPr>
            <a:ln w="19050" cap="rnd" cmpd="sng" algn="ctr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1F5-4684-8690-8AE2698F4B28}"/>
            </c:ext>
          </c:extLst>
        </c:ser>
        <c:ser>
          <c:idx val="69"/>
          <c:order val="33"/>
          <c:spPr>
            <a:ln w="19050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81F5-4684-8690-8AE2698F4B28}"/>
            </c:ext>
          </c:extLst>
        </c:ser>
        <c:ser>
          <c:idx val="70"/>
          <c:order val="34"/>
          <c:spPr>
            <a:ln w="19050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1F5-4684-8690-8AE2698F4B28}"/>
            </c:ext>
          </c:extLst>
        </c:ser>
        <c:ser>
          <c:idx val="71"/>
          <c:order val="35"/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81F5-4684-8690-8AE2698F4B28}"/>
            </c:ext>
          </c:extLst>
        </c:ser>
        <c:ser>
          <c:idx val="72"/>
          <c:order val="36"/>
          <c:spPr>
            <a:ln w="19050" cap="rnd" cmpd="sng" algn="ctr">
              <a:solidFill>
                <a:schemeClr val="accent1">
                  <a:lumMod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1F5-4684-8690-8AE2698F4B28}"/>
            </c:ext>
          </c:extLst>
        </c:ser>
        <c:ser>
          <c:idx val="74"/>
          <c:order val="37"/>
          <c:spPr>
            <a:ln w="19050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Backlog'!$K$46:$T$46</c:f>
              <c:numCache>
                <c:formatCode>General</c:formatCode>
                <c:ptCount val="10"/>
                <c:pt idx="0">
                  <c:v>208</c:v>
                </c:pt>
                <c:pt idx="1">
                  <c:v>194</c:v>
                </c:pt>
                <c:pt idx="2">
                  <c:v>170</c:v>
                </c:pt>
                <c:pt idx="3">
                  <c:v>148</c:v>
                </c:pt>
                <c:pt idx="4">
                  <c:v>118</c:v>
                </c:pt>
                <c:pt idx="5">
                  <c:v>106</c:v>
                </c:pt>
                <c:pt idx="6">
                  <c:v>106</c:v>
                </c:pt>
                <c:pt idx="7">
                  <c:v>96</c:v>
                </c:pt>
                <c:pt idx="8">
                  <c:v>84</c:v>
                </c:pt>
                <c:pt idx="9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1F5-4684-8690-8AE2698F4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450581"/>
        <c:axId val="1661993928"/>
      </c:lineChart>
      <c:catAx>
        <c:axId val="203745058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1993928"/>
        <c:crosses val="autoZero"/>
        <c:auto val="1"/>
        <c:lblAlgn val="ctr"/>
        <c:lblOffset val="100"/>
        <c:noMultiLvlLbl val="1"/>
      </c:catAx>
      <c:valAx>
        <c:axId val="16619939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3745058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showDLblsOverMax val="1"/>
  </c:chart>
  <c:spPr>
    <a:solidFill>
      <a:schemeClr val="lt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 Up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630030621172356E-2"/>
          <c:y val="0.1076301399825022"/>
          <c:w val="0.8952218212306795"/>
          <c:h val="0.71333032589676293"/>
        </c:manualLayout>
      </c:layout>
      <c:lineChart>
        <c:grouping val="standard"/>
        <c:varyColors val="1"/>
        <c:ser>
          <c:idx val="74"/>
          <c:order val="74"/>
          <c:spPr>
            <a:ln w="19050" cap="rnd" cmpd="sng" algn="ctr">
              <a:solidFill>
                <a:schemeClr val="accent3">
                  <a:lumMod val="8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1 Backlog'!$K$7:$T$7</c:f>
              <c:strCache>
                <c:ptCount val="10"/>
                <c:pt idx="0">
                  <c:v>Day1</c:v>
                </c:pt>
                <c:pt idx="1">
                  <c:v>Day2</c:v>
                </c:pt>
                <c:pt idx="2">
                  <c:v>Day3</c:v>
                </c:pt>
                <c:pt idx="3">
                  <c:v>Day4</c:v>
                </c:pt>
                <c:pt idx="4">
                  <c:v>Day5</c:v>
                </c:pt>
                <c:pt idx="5">
                  <c:v>Day6</c:v>
                </c:pt>
                <c:pt idx="6">
                  <c:v>Day7</c:v>
                </c:pt>
                <c:pt idx="7">
                  <c:v>Day8</c:v>
                </c:pt>
                <c:pt idx="8">
                  <c:v>Day9</c:v>
                </c:pt>
                <c:pt idx="9">
                  <c:v>Day 10</c:v>
                </c:pt>
              </c:strCache>
            </c:strRef>
          </c:cat>
          <c:val>
            <c:numRef>
              <c:f>'Sprint 1 Backlog'!$K$47:$T$47</c:f>
              <c:numCache>
                <c:formatCode>General</c:formatCode>
                <c:ptCount val="10"/>
                <c:pt idx="0">
                  <c:v>12</c:v>
                </c:pt>
                <c:pt idx="1">
                  <c:v>26</c:v>
                </c:pt>
                <c:pt idx="2">
                  <c:v>50</c:v>
                </c:pt>
                <c:pt idx="3">
                  <c:v>72</c:v>
                </c:pt>
                <c:pt idx="4">
                  <c:v>102</c:v>
                </c:pt>
                <c:pt idx="5">
                  <c:v>114</c:v>
                </c:pt>
                <c:pt idx="6">
                  <c:v>114</c:v>
                </c:pt>
                <c:pt idx="7">
                  <c:v>124</c:v>
                </c:pt>
                <c:pt idx="8">
                  <c:v>136</c:v>
                </c:pt>
                <c:pt idx="9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A72-416E-8756-8A9C019C8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084515"/>
        <c:axId val="89771554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19050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 lvl="0">
                        <a:defRPr sz="900" b="0" i="0" u="none" strike="noStrike" kern="1200" baseline="0">
                          <a:solidFill>
                            <a:srgbClr val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A72-416E-8756-8A9C019C887D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19050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Backlog'!$K$8:$T$8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A72-416E-8756-8A9C019C887D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19050" cap="rnd" cmpd="sng" algn="ctr">
                    <a:solidFill>
                      <a:schemeClr val="accent3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Backlog'!$K$9:$T$9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1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A72-416E-8756-8A9C019C887D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19050" cap="rnd" cmpd="sng" algn="ctr">
                    <a:solidFill>
                      <a:schemeClr val="accent4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Backlog'!$K$10:$T$10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3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A72-416E-8756-8A9C019C887D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Backlog'!$K$11:$T$11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3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A72-416E-8756-8A9C019C887D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w="19050" cap="rnd" cmpd="sng" algn="ctr">
                    <a:solidFill>
                      <a:schemeClr val="accent6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Backlog'!$K$12:$T$12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A72-416E-8756-8A9C019C887D}"/>
                  </c:ext>
                </c:extLst>
              </c15:ser>
            </c15:filteredLineSeries>
            <c15:filteredLineSeries>
              <c15:ser>
                <c:idx val="6"/>
                <c:order val="6"/>
                <c:spPr>
                  <a:ln w="19050" cap="rnd" cmpd="sng" algn="ctr">
                    <a:solidFill>
                      <a:schemeClr val="accent1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Backlog'!$K$13:$T$13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A72-416E-8756-8A9C019C887D}"/>
                  </c:ext>
                </c:extLst>
              </c15:ser>
            </c15:filteredLineSeries>
            <c15:filteredLineSeries>
              <c15:ser>
                <c:idx val="7"/>
                <c:order val="7"/>
                <c:spPr>
                  <a:ln w="19050" cap="rnd" cmpd="sng" algn="ctr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A72-416E-8756-8A9C019C887D}"/>
                  </c:ext>
                </c:extLst>
              </c15:ser>
            </c15:filteredLineSeries>
            <c15:filteredLineSeries>
              <c15:ser>
                <c:idx val="8"/>
                <c:order val="8"/>
                <c:spPr>
                  <a:ln w="19050" cap="rnd" cmpd="sng" algn="ctr">
                    <a:solidFill>
                      <a:schemeClr val="accent3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Backlog'!$K$14:$T$14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A72-416E-8756-8A9C019C887D}"/>
                  </c:ext>
                </c:extLst>
              </c15:ser>
            </c15:filteredLineSeries>
            <c15:filteredLineSeries>
              <c15:ser>
                <c:idx val="9"/>
                <c:order val="9"/>
                <c:spPr>
                  <a:ln w="19050" cap="rnd" cmpd="sng" algn="ctr">
                    <a:solidFill>
                      <a:schemeClr val="accent4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Backlog'!$K$15:$T$15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2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A72-416E-8756-8A9C019C887D}"/>
                  </c:ext>
                </c:extLst>
              </c15:ser>
            </c15:filteredLineSeries>
            <c15:filteredLineSeries>
              <c15:ser>
                <c:idx val="10"/>
                <c:order val="10"/>
                <c:spPr>
                  <a:ln w="19050" cap="rnd" cmpd="sng" algn="ctr">
                    <a:solidFill>
                      <a:schemeClr val="accent5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Backlog'!$K$16:$T$16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3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A72-416E-8756-8A9C019C887D}"/>
                  </c:ext>
                </c:extLst>
              </c15:ser>
            </c15:filteredLineSeries>
            <c15:filteredLineSeries>
              <c15:ser>
                <c:idx val="11"/>
                <c:order val="11"/>
                <c:spPr>
                  <a:ln w="19050" cap="rnd" cmpd="sng" algn="ctr">
                    <a:solidFill>
                      <a:schemeClr val="accent6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Backlog'!$K$17:$T$17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4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A72-416E-8756-8A9C019C887D}"/>
                  </c:ext>
                </c:extLst>
              </c15:ser>
            </c15:filteredLineSeries>
            <c15:filteredLineSeries>
              <c15:ser>
                <c:idx val="12"/>
                <c:order val="12"/>
                <c:spPr>
                  <a:ln w="19050" cap="rnd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Backlog'!$K$18:$T$18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A72-416E-8756-8A9C019C887D}"/>
                  </c:ext>
                </c:extLst>
              </c15:ser>
            </c15:filteredLineSeries>
            <c15:filteredLineSeries>
              <c15:ser>
                <c:idx val="13"/>
                <c:order val="13"/>
                <c:spPr>
                  <a:ln w="19050" cap="rnd" cmpd="sng" algn="ctr">
                    <a:solidFill>
                      <a:schemeClr val="accent2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Backlog'!$K$19:$T$19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A72-416E-8756-8A9C019C887D}"/>
                  </c:ext>
                </c:extLst>
              </c15:ser>
            </c15:filteredLineSeries>
            <c15:filteredLineSeries>
              <c15:ser>
                <c:idx val="14"/>
                <c:order val="14"/>
                <c:spPr>
                  <a:ln w="19050" cap="rnd" cmpd="sng" algn="ctr">
                    <a:solidFill>
                      <a:schemeClr val="accent3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Backlog'!$K$20:$T$20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1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A72-416E-8756-8A9C019C887D}"/>
                  </c:ext>
                </c:extLst>
              </c15:ser>
            </c15:filteredLineSeries>
            <c15:filteredLineSeries>
              <c15:ser>
                <c:idx val="15"/>
                <c:order val="15"/>
                <c:spPr>
                  <a:ln w="19050" cap="rnd" cmpd="sng" algn="ctr">
                    <a:solidFill>
                      <a:schemeClr val="accent4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Backlog'!$K$21:$T$21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A72-416E-8756-8A9C019C887D}"/>
                  </c:ext>
                </c:extLst>
              </c15:ser>
            </c15:filteredLineSeries>
            <c15:filteredLineSeries>
              <c15:ser>
                <c:idx val="16"/>
                <c:order val="16"/>
                <c:spPr>
                  <a:ln w="19050" cap="rnd" cmpd="sng" algn="ctr">
                    <a:solidFill>
                      <a:schemeClr val="accent5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Backlog'!$K$22:$T$22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2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A72-416E-8756-8A9C019C887D}"/>
                  </c:ext>
                </c:extLst>
              </c15:ser>
            </c15:filteredLineSeries>
            <c15:filteredLineSeries>
              <c15:ser>
                <c:idx val="17"/>
                <c:order val="17"/>
                <c:spPr>
                  <a:ln w="19050" cap="rnd" cmpd="sng" algn="ctr">
                    <a:solidFill>
                      <a:schemeClr val="accent6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Backlog'!$K$23:$T$23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2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A72-416E-8756-8A9C019C887D}"/>
                  </c:ext>
                </c:extLst>
              </c15:ser>
            </c15:filteredLineSeries>
            <c15:filteredLineSeries>
              <c15:ser>
                <c:idx val="18"/>
                <c:order val="18"/>
                <c:spPr>
                  <a:ln w="19050" cap="rnd" cmpd="sng" algn="ctr">
                    <a:solidFill>
                      <a:schemeClr val="accent1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Backlog'!$K$24:$T$24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A72-416E-8756-8A9C019C887D}"/>
                  </c:ext>
                </c:extLst>
              </c15:ser>
            </c15:filteredLineSeries>
            <c15:filteredLineSeries>
              <c15:ser>
                <c:idx val="19"/>
                <c:order val="19"/>
                <c:spPr>
                  <a:ln w="19050" cap="rnd" cmpd="sng" algn="ctr">
                    <a:solidFill>
                      <a:schemeClr val="accent2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Backlog'!$K$25:$T$25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A72-416E-8756-8A9C019C887D}"/>
                  </c:ext>
                </c:extLst>
              </c15:ser>
            </c15:filteredLineSeries>
            <c15:filteredLineSeries>
              <c15:ser>
                <c:idx val="20"/>
                <c:order val="20"/>
                <c:spPr>
                  <a:ln w="19050" cap="rnd" cmpd="sng" algn="ctr">
                    <a:solidFill>
                      <a:schemeClr val="accent3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A72-416E-8756-8A9C019C887D}"/>
                  </c:ext>
                </c:extLst>
              </c15:ser>
            </c15:filteredLineSeries>
            <c15:filteredLineSeries>
              <c15:ser>
                <c:idx val="21"/>
                <c:order val="21"/>
                <c:spPr>
                  <a:ln w="19050" cap="rnd" cmpd="sng" algn="ctr">
                    <a:solidFill>
                      <a:schemeClr val="accent4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A72-416E-8756-8A9C019C887D}"/>
                  </c:ext>
                </c:extLst>
              </c15:ser>
            </c15:filteredLineSeries>
            <c15:filteredLineSeries>
              <c15:ser>
                <c:idx val="22"/>
                <c:order val="22"/>
                <c:spPr>
                  <a:ln w="19050" cap="rnd" cmpd="sng" algn="ctr">
                    <a:solidFill>
                      <a:schemeClr val="accent5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A72-416E-8756-8A9C019C887D}"/>
                  </c:ext>
                </c:extLst>
              </c15:ser>
            </c15:filteredLineSeries>
            <c15:filteredLineSeries>
              <c15:ser>
                <c:idx val="23"/>
                <c:order val="23"/>
                <c:spPr>
                  <a:ln w="19050" cap="rnd" cmpd="sng" algn="ctr">
                    <a:solidFill>
                      <a:schemeClr val="accent6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A72-416E-8756-8A9C019C887D}"/>
                  </c:ext>
                </c:extLst>
              </c15:ser>
            </c15:filteredLineSeries>
            <c15:filteredLineSeries>
              <c15:ser>
                <c:idx val="24"/>
                <c:order val="24"/>
                <c:spPr>
                  <a:ln w="19050" cap="rnd" cmpd="sng" algn="ctr">
                    <a:solidFill>
                      <a:schemeClr val="accent1">
                        <a:lumMod val="60000"/>
                        <a:lumOff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A72-416E-8756-8A9C019C887D}"/>
                  </c:ext>
                </c:extLst>
              </c15:ser>
            </c15:filteredLineSeries>
            <c15:filteredLineSeries>
              <c15:ser>
                <c:idx val="25"/>
                <c:order val="25"/>
                <c:spPr>
                  <a:ln w="19050" cap="rnd" cmpd="sng" algn="ctr">
                    <a:solidFill>
                      <a:schemeClr val="accent2">
                        <a:lumMod val="60000"/>
                        <a:lumOff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A72-416E-8756-8A9C019C887D}"/>
                  </c:ext>
                </c:extLst>
              </c15:ser>
            </c15:filteredLineSeries>
            <c15:filteredLineSeries>
              <c15:ser>
                <c:idx val="26"/>
                <c:order val="26"/>
                <c:spPr>
                  <a:ln w="19050" cap="rnd" cmpd="sng" algn="ctr">
                    <a:solidFill>
                      <a:schemeClr val="accent3">
                        <a:lumMod val="60000"/>
                        <a:lumOff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A72-416E-8756-8A9C019C887D}"/>
                  </c:ext>
                </c:extLst>
              </c15:ser>
            </c15:filteredLineSeries>
            <c15:filteredLineSeries>
              <c15:ser>
                <c:idx val="27"/>
                <c:order val="27"/>
                <c:spPr>
                  <a:ln w="19050" cap="rnd" cmpd="sng" algn="ctr">
                    <a:solidFill>
                      <a:schemeClr val="accent4">
                        <a:lumMod val="60000"/>
                        <a:lumOff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9A72-416E-8756-8A9C019C887D}"/>
                  </c:ext>
                </c:extLst>
              </c15:ser>
            </c15:filteredLineSeries>
            <c15:filteredLineSeries>
              <c15:ser>
                <c:idx val="28"/>
                <c:order val="28"/>
                <c:spPr>
                  <a:ln w="19050" cap="rnd" cmpd="sng" algn="ctr">
                    <a:solidFill>
                      <a:schemeClr val="accent5">
                        <a:lumMod val="60000"/>
                        <a:lumOff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9A72-416E-8756-8A9C019C887D}"/>
                  </c:ext>
                </c:extLst>
              </c15:ser>
            </c15:filteredLineSeries>
            <c15:filteredLineSeries>
              <c15:ser>
                <c:idx val="29"/>
                <c:order val="29"/>
                <c:spPr>
                  <a:ln w="19050" cap="rnd" cmpd="sng" algn="ctr">
                    <a:solidFill>
                      <a:schemeClr val="accent6">
                        <a:lumMod val="60000"/>
                        <a:lumOff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9A72-416E-8756-8A9C019C887D}"/>
                  </c:ext>
                </c:extLst>
              </c15:ser>
            </c15:filteredLineSeries>
            <c15:filteredLineSeries>
              <c15:ser>
                <c:idx val="30"/>
                <c:order val="30"/>
                <c:spPr>
                  <a:ln w="19050" cap="rnd" cmpd="sng" algn="ctr">
                    <a:solidFill>
                      <a:schemeClr val="accent1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9A72-416E-8756-8A9C019C887D}"/>
                  </c:ext>
                </c:extLst>
              </c15:ser>
            </c15:filteredLineSeries>
            <c15:filteredLineSeries>
              <c15:ser>
                <c:idx val="31"/>
                <c:order val="31"/>
                <c:spPr>
                  <a:ln w="19050" cap="rnd" cmpd="sng" algn="ctr">
                    <a:solidFill>
                      <a:schemeClr val="accent2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9A72-416E-8756-8A9C019C887D}"/>
                  </c:ext>
                </c:extLst>
              </c15:ser>
            </c15:filteredLineSeries>
            <c15:filteredLineSeries>
              <c15:ser>
                <c:idx val="32"/>
                <c:order val="32"/>
                <c:spPr>
                  <a:ln w="19050" cap="rnd" cmpd="sng" algn="ctr">
                    <a:solidFill>
                      <a:schemeClr val="accent3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9A72-416E-8756-8A9C019C887D}"/>
                  </c:ext>
                </c:extLst>
              </c15:ser>
            </c15:filteredLineSeries>
            <c15:filteredLineSeries>
              <c15:ser>
                <c:idx val="33"/>
                <c:order val="33"/>
                <c:spPr>
                  <a:ln w="19050" cap="rnd" cmpd="sng" algn="ctr">
                    <a:solidFill>
                      <a:schemeClr val="accent4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9A72-416E-8756-8A9C019C887D}"/>
                  </c:ext>
                </c:extLst>
              </c15:ser>
            </c15:filteredLineSeries>
            <c15:filteredLineSeries>
              <c15:ser>
                <c:idx val="34"/>
                <c:order val="34"/>
                <c:spPr>
                  <a:ln w="19050" cap="rnd" cmpd="sng" algn="ctr">
                    <a:solidFill>
                      <a:schemeClr val="accent5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9A72-416E-8756-8A9C019C887D}"/>
                  </c:ext>
                </c:extLst>
              </c15:ser>
            </c15:filteredLineSeries>
            <c15:filteredLineSeries>
              <c15:ser>
                <c:idx val="35"/>
                <c:order val="35"/>
                <c:spPr>
                  <a:ln w="19050" cap="rnd" cmpd="sng" algn="ctr">
                    <a:solidFill>
                      <a:schemeClr val="accent6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9A72-416E-8756-8A9C019C887D}"/>
                  </c:ext>
                </c:extLst>
              </c15:ser>
            </c15:filteredLineSeries>
            <c15:filteredLineSeries>
              <c15:ser>
                <c:idx val="36"/>
                <c:order val="36"/>
                <c:spPr>
                  <a:ln w="19050" cap="rnd" cmpd="sng" algn="ctr">
                    <a:solidFill>
                      <a:schemeClr val="accent1">
                        <a:lumMod val="70000"/>
                        <a:lumOff val="3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9A72-416E-8756-8A9C019C887D}"/>
                  </c:ext>
                </c:extLst>
              </c15:ser>
            </c15:filteredLineSeries>
            <c15:filteredLineSeries>
              <c15:ser>
                <c:idx val="37"/>
                <c:order val="37"/>
                <c:spPr>
                  <a:ln w="19050" cap="rnd" cmpd="sng" algn="ctr">
                    <a:solidFill>
                      <a:schemeClr val="accent2">
                        <a:lumMod val="70000"/>
                        <a:lumOff val="3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9A72-416E-8756-8A9C019C887D}"/>
                  </c:ext>
                </c:extLst>
              </c15:ser>
            </c15:filteredLineSeries>
            <c15:filteredLineSeries>
              <c15:ser>
                <c:idx val="38"/>
                <c:order val="38"/>
                <c:spPr>
                  <a:ln w="19050" cap="rnd" cmpd="sng" algn="ctr">
                    <a:solidFill>
                      <a:schemeClr val="accent3">
                        <a:lumMod val="70000"/>
                        <a:lumOff val="3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9A72-416E-8756-8A9C019C887D}"/>
                  </c:ext>
                </c:extLst>
              </c15:ser>
            </c15:filteredLineSeries>
            <c15:filteredLineSeries>
              <c15:ser>
                <c:idx val="39"/>
                <c:order val="39"/>
                <c:spPr>
                  <a:ln w="19050" cap="rnd" cmpd="sng" algn="ctr">
                    <a:solidFill>
                      <a:schemeClr val="accent4">
                        <a:lumMod val="70000"/>
                        <a:lumOff val="3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9A72-416E-8756-8A9C019C887D}"/>
                  </c:ext>
                </c:extLst>
              </c15:ser>
            </c15:filteredLineSeries>
            <c15:filteredLineSeries>
              <c15:ser>
                <c:idx val="40"/>
                <c:order val="40"/>
                <c:spPr>
                  <a:ln w="19050" cap="rnd" cmpd="sng" algn="ctr">
                    <a:solidFill>
                      <a:schemeClr val="accent5">
                        <a:lumMod val="70000"/>
                        <a:lumOff val="3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9A72-416E-8756-8A9C019C887D}"/>
                  </c:ext>
                </c:extLst>
              </c15:ser>
            </c15:filteredLineSeries>
            <c15:filteredLineSeries>
              <c15:ser>
                <c:idx val="41"/>
                <c:order val="41"/>
                <c:spPr>
                  <a:ln w="19050" cap="rnd" cmpd="sng" algn="ctr">
                    <a:solidFill>
                      <a:schemeClr val="accent6">
                        <a:lumMod val="70000"/>
                        <a:lumOff val="3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9A72-416E-8756-8A9C019C887D}"/>
                  </c:ext>
                </c:extLst>
              </c15:ser>
            </c15:filteredLineSeries>
            <c15:filteredLineSeries>
              <c15:ser>
                <c:idx val="42"/>
                <c:order val="42"/>
                <c:spPr>
                  <a:ln w="19050" cap="rnd" cmpd="sng" algn="ctr">
                    <a:solidFill>
                      <a:schemeClr val="accent1">
                        <a:lumMod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9A72-416E-8756-8A9C019C887D}"/>
                  </c:ext>
                </c:extLst>
              </c15:ser>
            </c15:filteredLineSeries>
            <c15:filteredLineSeries>
              <c15:ser>
                <c:idx val="43"/>
                <c:order val="43"/>
                <c:spPr>
                  <a:ln w="19050" cap="rnd" cmpd="sng" algn="ctr">
                    <a:solidFill>
                      <a:schemeClr val="accent2">
                        <a:lumMod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9A72-416E-8756-8A9C019C887D}"/>
                  </c:ext>
                </c:extLst>
              </c15:ser>
            </c15:filteredLineSeries>
            <c15:filteredLineSeries>
              <c15:ser>
                <c:idx val="44"/>
                <c:order val="44"/>
                <c:spPr>
                  <a:ln w="19050" cap="rnd" cmpd="sng" algn="ctr">
                    <a:solidFill>
                      <a:schemeClr val="accent3">
                        <a:lumMod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9A72-416E-8756-8A9C019C887D}"/>
                  </c:ext>
                </c:extLst>
              </c15:ser>
            </c15:filteredLineSeries>
            <c15:filteredLineSeries>
              <c15:ser>
                <c:idx val="45"/>
                <c:order val="45"/>
                <c:spPr>
                  <a:ln w="19050" cap="rnd" cmpd="sng" algn="ctr">
                    <a:solidFill>
                      <a:schemeClr val="accent4">
                        <a:lumMod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9A72-416E-8756-8A9C019C887D}"/>
                  </c:ext>
                </c:extLst>
              </c15:ser>
            </c15:filteredLineSeries>
            <c15:filteredLineSeries>
              <c15:ser>
                <c:idx val="46"/>
                <c:order val="46"/>
                <c:spPr>
                  <a:ln w="19050" cap="rnd" cmpd="sng" algn="ctr">
                    <a:solidFill>
                      <a:schemeClr val="accent5">
                        <a:lumMod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9A72-416E-8756-8A9C019C887D}"/>
                  </c:ext>
                </c:extLst>
              </c15:ser>
            </c15:filteredLineSeries>
            <c15:filteredLineSeries>
              <c15:ser>
                <c:idx val="47"/>
                <c:order val="47"/>
                <c:spPr>
                  <a:ln w="19050" cap="rnd" cmpd="sng" algn="ctr">
                    <a:solidFill>
                      <a:schemeClr val="accent6">
                        <a:lumMod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9A72-416E-8756-8A9C019C887D}"/>
                  </c:ext>
                </c:extLst>
              </c15:ser>
            </c15:filteredLineSeries>
            <c15:filteredLineSeries>
              <c15:ser>
                <c:idx val="48"/>
                <c:order val="48"/>
                <c:spPr>
                  <a:ln w="19050" cap="rnd" cmpd="sng" algn="ctr">
                    <a:solidFill>
                      <a:schemeClr val="accent1">
                        <a:lumMod val="50000"/>
                        <a:lumOff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9A72-416E-8756-8A9C019C887D}"/>
                  </c:ext>
                </c:extLst>
              </c15:ser>
            </c15:filteredLineSeries>
            <c15:filteredLineSeries>
              <c15:ser>
                <c:idx val="49"/>
                <c:order val="49"/>
                <c:spPr>
                  <a:ln w="19050" cap="rnd" cmpd="sng" algn="ctr">
                    <a:solidFill>
                      <a:schemeClr val="accent2">
                        <a:lumMod val="50000"/>
                        <a:lumOff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9A72-416E-8756-8A9C019C887D}"/>
                  </c:ext>
                </c:extLst>
              </c15:ser>
            </c15:filteredLineSeries>
            <c15:filteredLineSeries>
              <c15:ser>
                <c:idx val="50"/>
                <c:order val="50"/>
                <c:spPr>
                  <a:ln w="19050" cap="rnd" cmpd="sng" algn="ctr">
                    <a:solidFill>
                      <a:schemeClr val="accent3">
                        <a:lumMod val="50000"/>
                        <a:lumOff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Backlog'!$K$26:$T$26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1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9A72-416E-8756-8A9C019C887D}"/>
                  </c:ext>
                </c:extLst>
              </c15:ser>
            </c15:filteredLineSeries>
            <c15:filteredLineSeries>
              <c15:ser>
                <c:idx val="51"/>
                <c:order val="51"/>
                <c:spPr>
                  <a:ln w="19050" cap="rnd" cmpd="sng" algn="ctr">
                    <a:solidFill>
                      <a:schemeClr val="accent4">
                        <a:lumMod val="50000"/>
                        <a:lumOff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Backlog'!$K$27:$T$27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2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9A72-416E-8756-8A9C019C887D}"/>
                  </c:ext>
                </c:extLst>
              </c15:ser>
            </c15:filteredLineSeries>
            <c15:filteredLineSeries>
              <c15:ser>
                <c:idx val="52"/>
                <c:order val="52"/>
                <c:spPr>
                  <a:ln w="19050" cap="rnd" cmpd="sng" algn="ctr">
                    <a:solidFill>
                      <a:schemeClr val="accent5">
                        <a:lumMod val="50000"/>
                        <a:lumOff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Backlog'!$K$28:$T$28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4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9A72-416E-8756-8A9C019C887D}"/>
                  </c:ext>
                </c:extLst>
              </c15:ser>
            </c15:filteredLineSeries>
            <c15:filteredLineSeries>
              <c15:ser>
                <c:idx val="53"/>
                <c:order val="53"/>
                <c:spPr>
                  <a:ln w="19050" cap="rnd" cmpd="sng" algn="ctr">
                    <a:solidFill>
                      <a:schemeClr val="accent6">
                        <a:lumMod val="50000"/>
                        <a:lumOff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Backlog'!$K$29:$T$29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4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9A72-416E-8756-8A9C019C887D}"/>
                  </c:ext>
                </c:extLst>
              </c15:ser>
            </c15:filteredLineSeries>
            <c15:filteredLineSeries>
              <c15:ser>
                <c:idx val="54"/>
                <c:order val="54"/>
                <c:spPr>
                  <a:ln w="19050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Backlog'!$K$30:$T$30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9A72-416E-8756-8A9C019C887D}"/>
                  </c:ext>
                </c:extLst>
              </c15:ser>
            </c15:filteredLineSeries>
            <c15:filteredLineSeries>
              <c15:ser>
                <c:idx val="55"/>
                <c:order val="55"/>
                <c:spPr>
                  <a:ln w="19050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Backlog'!$K$31:$T$31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9A72-416E-8756-8A9C019C887D}"/>
                  </c:ext>
                </c:extLst>
              </c15:ser>
            </c15:filteredLineSeries>
            <c15:filteredLineSeries>
              <c15:ser>
                <c:idx val="56"/>
                <c:order val="56"/>
                <c:spPr>
                  <a:ln w="19050" cap="rnd" cmpd="sng" algn="ctr">
                    <a:solidFill>
                      <a:schemeClr val="accent3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Backlog'!$K$32:$T$32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5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9A72-416E-8756-8A9C019C887D}"/>
                  </c:ext>
                </c:extLst>
              </c15:ser>
            </c15:filteredLineSeries>
            <c15:filteredLineSeries>
              <c15:ser>
                <c:idx val="57"/>
                <c:order val="57"/>
                <c:spPr>
                  <a:ln w="19050" cap="rnd" cmpd="sng" algn="ctr">
                    <a:solidFill>
                      <a:schemeClr val="accent4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Backlog'!$K$33:$T$33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5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9A72-416E-8756-8A9C019C887D}"/>
                  </c:ext>
                </c:extLst>
              </c15:ser>
            </c15:filteredLineSeries>
            <c15:filteredLineSeries>
              <c15:ser>
                <c:idx val="58"/>
                <c:order val="58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Backlog'!$K$34:$T$34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7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9A72-416E-8756-8A9C019C887D}"/>
                  </c:ext>
                </c:extLst>
              </c15:ser>
            </c15:filteredLineSeries>
            <c15:filteredLineSeries>
              <c15:ser>
                <c:idx val="59"/>
                <c:order val="59"/>
                <c:spPr>
                  <a:ln w="19050" cap="rnd" cmpd="sng" algn="ctr">
                    <a:solidFill>
                      <a:schemeClr val="accent6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Backlog'!$K$35:$T$35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9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9A72-416E-8756-8A9C019C887D}"/>
                  </c:ext>
                </c:extLst>
              </c15:ser>
            </c15:filteredLineSeries>
            <c15:filteredLineSeries>
              <c15:ser>
                <c:idx val="60"/>
                <c:order val="60"/>
                <c:spPr>
                  <a:ln w="19050" cap="rnd" cmpd="sng" algn="ctr">
                    <a:solidFill>
                      <a:schemeClr val="accent1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Backlog'!$K$36:$T$36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9A72-416E-8756-8A9C019C887D}"/>
                  </c:ext>
                </c:extLst>
              </c15:ser>
            </c15:filteredLineSeries>
            <c15:filteredLineSeries>
              <c15:ser>
                <c:idx val="61"/>
                <c:order val="61"/>
                <c:spPr>
                  <a:ln w="19050" cap="rnd" cmpd="sng" algn="ctr">
                    <a:solidFill>
                      <a:schemeClr val="accent2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Backlog'!$K$37:$T$37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9A72-416E-8756-8A9C019C887D}"/>
                  </c:ext>
                </c:extLst>
              </c15:ser>
            </c15:filteredLineSeries>
            <c15:filteredLineSeries>
              <c15:ser>
                <c:idx val="62"/>
                <c:order val="62"/>
                <c:spPr>
                  <a:ln w="19050" cap="rnd" cmpd="sng" algn="ctr">
                    <a:solidFill>
                      <a:schemeClr val="accent3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Backlog'!$K$38:$T$38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9A72-416E-8756-8A9C019C887D}"/>
                  </c:ext>
                </c:extLst>
              </c15:ser>
            </c15:filteredLineSeries>
            <c15:filteredLineSeries>
              <c15:ser>
                <c:idx val="63"/>
                <c:order val="63"/>
                <c:spPr>
                  <a:ln w="19050" cap="rnd" cmpd="sng" algn="ctr">
                    <a:solidFill>
                      <a:schemeClr val="accent4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Backlog'!$K$39:$T$39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8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9A72-416E-8756-8A9C019C887D}"/>
                  </c:ext>
                </c:extLst>
              </c15:ser>
            </c15:filteredLineSeries>
            <c15:filteredLineSeries>
              <c15:ser>
                <c:idx val="64"/>
                <c:order val="64"/>
                <c:spPr>
                  <a:ln w="19050" cap="rnd" cmpd="sng" algn="ctr">
                    <a:solidFill>
                      <a:schemeClr val="accent5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Backlog'!$K$40:$T$40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9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9A72-416E-8756-8A9C019C887D}"/>
                  </c:ext>
                </c:extLst>
              </c15:ser>
            </c15:filteredLineSeries>
            <c15:filteredLineSeries>
              <c15:ser>
                <c:idx val="65"/>
                <c:order val="65"/>
                <c:spPr>
                  <a:ln w="19050" cap="rnd" cmpd="sng" algn="ctr">
                    <a:solidFill>
                      <a:schemeClr val="accent6">
                        <a:lumMod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Backlog'!$K$41:$T$41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9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9A72-416E-8756-8A9C019C887D}"/>
                  </c:ext>
                </c:extLst>
              </c15:ser>
            </c15:filteredLineSeries>
            <c15:filteredLineSeries>
              <c15:ser>
                <c:idx val="66"/>
                <c:order val="66"/>
                <c:spPr>
                  <a:ln w="19050" cap="rnd" cmpd="sng" algn="ctr">
                    <a:solidFill>
                      <a:schemeClr val="accent1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Backlog'!$K$42:$T$42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9A72-416E-8756-8A9C019C887D}"/>
                  </c:ext>
                </c:extLst>
              </c15:ser>
            </c15:filteredLineSeries>
            <c15:filteredLineSeries>
              <c15:ser>
                <c:idx val="67"/>
                <c:order val="67"/>
                <c:spPr>
                  <a:ln w="19050" cap="rnd" cmpd="sng" algn="ctr">
                    <a:solidFill>
                      <a:schemeClr val="accent2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Backlog'!$K$43:$T$43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9A72-416E-8756-8A9C019C887D}"/>
                  </c:ext>
                </c:extLst>
              </c15:ser>
            </c15:filteredLineSeries>
            <c15:filteredLineSeries>
              <c15:ser>
                <c:idx val="68"/>
                <c:order val="68"/>
                <c:spPr>
                  <a:ln w="19050" cap="rnd" cmpd="sng" algn="ctr">
                    <a:solidFill>
                      <a:schemeClr val="accent3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9A72-416E-8756-8A9C019C887D}"/>
                  </c:ext>
                </c:extLst>
              </c15:ser>
            </c15:filteredLineSeries>
            <c15:filteredLineSeries>
              <c15:ser>
                <c:idx val="69"/>
                <c:order val="69"/>
                <c:spPr>
                  <a:ln w="19050" cap="rnd" cmpd="sng" algn="ctr">
                    <a:solidFill>
                      <a:schemeClr val="accent4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9A72-416E-8756-8A9C019C887D}"/>
                  </c:ext>
                </c:extLst>
              </c15:ser>
            </c15:filteredLineSeries>
            <c15:filteredLineSeries>
              <c15:ser>
                <c:idx val="70"/>
                <c:order val="70"/>
                <c:spPr>
                  <a:ln w="19050" cap="rnd" cmpd="sng" algn="ctr">
                    <a:solidFill>
                      <a:schemeClr val="accent5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9A72-416E-8756-8A9C019C887D}"/>
                  </c:ext>
                </c:extLst>
              </c15:ser>
            </c15:filteredLineSeries>
            <c15:filteredLineSeries>
              <c15:ser>
                <c:idx val="71"/>
                <c:order val="71"/>
                <c:spPr>
                  <a:ln w="19050" cap="rnd" cmpd="sng" algn="ctr">
                    <a:solidFill>
                      <a:schemeClr val="accent6">
                        <a:lumMod val="80000"/>
                        <a:lumOff val="2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9A72-416E-8756-8A9C019C887D}"/>
                  </c:ext>
                </c:extLst>
              </c15:ser>
            </c15:filteredLineSeries>
            <c15:filteredLineSeries>
              <c15:ser>
                <c:idx val="72"/>
                <c:order val="72"/>
                <c:spPr>
                  <a:ln w="19050" cap="rnd" cmpd="sng" algn="ctr">
                    <a:solidFill>
                      <a:schemeClr val="accent1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9A72-416E-8756-8A9C019C887D}"/>
                  </c:ext>
                </c:extLst>
              </c15:ser>
            </c15:filteredLineSeries>
            <c15:filteredLineSeries>
              <c15:ser>
                <c:idx val="73"/>
                <c:order val="73"/>
                <c:spPr>
                  <a:ln w="19050" cap="rnd" cmpd="sng" algn="ctr">
                    <a:solidFill>
                      <a:schemeClr val="accent2">
                        <a:lumMod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Backlog'!$K$7:$T$7</c15:sqref>
                        </c15:formulaRef>
                      </c:ext>
                    </c:extLst>
                    <c:strCache>
                      <c:ptCount val="10"/>
                      <c:pt idx="0">
                        <c:v>Day1</c:v>
                      </c:pt>
                      <c:pt idx="1">
                        <c:v>Day2</c:v>
                      </c:pt>
                      <c:pt idx="2">
                        <c:v>Day3</c:v>
                      </c:pt>
                      <c:pt idx="3">
                        <c:v>Day4</c:v>
                      </c:pt>
                      <c:pt idx="4">
                        <c:v>Day5</c:v>
                      </c:pt>
                      <c:pt idx="5">
                        <c:v>Day6</c:v>
                      </c:pt>
                      <c:pt idx="6">
                        <c:v>Day7</c:v>
                      </c:pt>
                      <c:pt idx="7">
                        <c:v>Day8</c:v>
                      </c:pt>
                      <c:pt idx="8">
                        <c:v>Day9</c:v>
                      </c:pt>
                      <c:pt idx="9">
                        <c:v>Day 10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1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9A72-416E-8756-8A9C019C887D}"/>
                  </c:ext>
                </c:extLst>
              </c15:ser>
            </c15:filteredLineSeries>
          </c:ext>
        </c:extLst>
      </c:lineChart>
      <c:catAx>
        <c:axId val="15950845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7715549"/>
        <c:crosses val="autoZero"/>
        <c:auto val="1"/>
        <c:lblAlgn val="ctr"/>
        <c:lblOffset val="100"/>
        <c:noMultiLvlLbl val="1"/>
      </c:catAx>
      <c:valAx>
        <c:axId val="89771554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5084515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lt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Down Chart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924282191998721E-2"/>
          <c:y val="9.3886396275937214E-2"/>
          <c:w val="0.89495555953233119"/>
          <c:h val="0.793959689001139"/>
        </c:manualLayout>
      </c:layout>
      <c:lineChart>
        <c:grouping val="stacked"/>
        <c:varyColors val="0"/>
        <c:ser>
          <c:idx val="0"/>
          <c:order val="0"/>
          <c:spPr>
            <a:ln w="2540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'Sprint 2 Backlog'!$K$7:$AN$7</c:f>
              <c:strCache>
                <c:ptCount val="3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  <c:pt idx="22">
                  <c:v>Day 23</c:v>
                </c:pt>
                <c:pt idx="23">
                  <c:v>Day 24</c:v>
                </c:pt>
                <c:pt idx="24">
                  <c:v>Day 25</c:v>
                </c:pt>
                <c:pt idx="25">
                  <c:v>Day 26</c:v>
                </c:pt>
                <c:pt idx="26">
                  <c:v>Day 27</c:v>
                </c:pt>
                <c:pt idx="27">
                  <c:v>Day 28</c:v>
                </c:pt>
                <c:pt idx="28">
                  <c:v>Day 29</c:v>
                </c:pt>
                <c:pt idx="29">
                  <c:v>Day 30</c:v>
                </c:pt>
              </c:strCache>
            </c:strRef>
          </c:cat>
          <c:val>
            <c:numRef>
              <c:f>'Sprint 2 Backlog'!$K$81:$AN$81</c:f>
              <c:numCache>
                <c:formatCode>General</c:formatCode>
                <c:ptCount val="30"/>
                <c:pt idx="0">
                  <c:v>410</c:v>
                </c:pt>
                <c:pt idx="1">
                  <c:v>389</c:v>
                </c:pt>
                <c:pt idx="2">
                  <c:v>377</c:v>
                </c:pt>
                <c:pt idx="3">
                  <c:v>344</c:v>
                </c:pt>
                <c:pt idx="4">
                  <c:v>302</c:v>
                </c:pt>
                <c:pt idx="5">
                  <c:v>263</c:v>
                </c:pt>
                <c:pt idx="6">
                  <c:v>248</c:v>
                </c:pt>
                <c:pt idx="7">
                  <c:v>230</c:v>
                </c:pt>
                <c:pt idx="8">
                  <c:v>207</c:v>
                </c:pt>
                <c:pt idx="9">
                  <c:v>201</c:v>
                </c:pt>
                <c:pt idx="10">
                  <c:v>183</c:v>
                </c:pt>
                <c:pt idx="11">
                  <c:v>173</c:v>
                </c:pt>
                <c:pt idx="12">
                  <c:v>161</c:v>
                </c:pt>
                <c:pt idx="13">
                  <c:v>161</c:v>
                </c:pt>
                <c:pt idx="14">
                  <c:v>161</c:v>
                </c:pt>
                <c:pt idx="15">
                  <c:v>141</c:v>
                </c:pt>
                <c:pt idx="16">
                  <c:v>126</c:v>
                </c:pt>
                <c:pt idx="17">
                  <c:v>126</c:v>
                </c:pt>
                <c:pt idx="18">
                  <c:v>116</c:v>
                </c:pt>
                <c:pt idx="19">
                  <c:v>116</c:v>
                </c:pt>
                <c:pt idx="20">
                  <c:v>109</c:v>
                </c:pt>
                <c:pt idx="21">
                  <c:v>101</c:v>
                </c:pt>
                <c:pt idx="22">
                  <c:v>101</c:v>
                </c:pt>
                <c:pt idx="23">
                  <c:v>101</c:v>
                </c:pt>
                <c:pt idx="24">
                  <c:v>75</c:v>
                </c:pt>
                <c:pt idx="25">
                  <c:v>66</c:v>
                </c:pt>
                <c:pt idx="26">
                  <c:v>66</c:v>
                </c:pt>
                <c:pt idx="27">
                  <c:v>58</c:v>
                </c:pt>
                <c:pt idx="28">
                  <c:v>58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6-4BEE-942A-69C1EBB00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35312"/>
        <c:axId val="101134352"/>
      </c:lineChart>
      <c:catAx>
        <c:axId val="10113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134352"/>
        <c:crosses val="autoZero"/>
        <c:auto val="1"/>
        <c:lblAlgn val="ctr"/>
        <c:lblOffset val="100"/>
        <c:tickLblSkip val="1"/>
        <c:noMultiLvlLbl val="0"/>
      </c:catAx>
      <c:valAx>
        <c:axId val="10113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135312"/>
        <c:crosses val="autoZero"/>
        <c:crossBetween val="between"/>
      </c:valAx>
      <c:spPr>
        <a:noFill/>
        <a:ln>
          <a:solidFill>
            <a:schemeClr val="tx2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Up Chart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3982327383142017"/>
          <c:y val="3.7923789039821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85735305814045E-2"/>
          <c:y val="0.13137945964116793"/>
          <c:w val="0.89317873618070465"/>
          <c:h val="0.75618938257717783"/>
        </c:manualLayout>
      </c:layout>
      <c:lineChart>
        <c:grouping val="stacked"/>
        <c:varyColors val="0"/>
        <c:ser>
          <c:idx val="0"/>
          <c:order val="0"/>
          <c:spPr>
            <a:ln w="2540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'Sprint 2 Backlog'!$K$7:$AN$7</c:f>
              <c:strCache>
                <c:ptCount val="30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  <c:pt idx="22">
                  <c:v>Day 23</c:v>
                </c:pt>
                <c:pt idx="23">
                  <c:v>Day 24</c:v>
                </c:pt>
                <c:pt idx="24">
                  <c:v>Day 25</c:v>
                </c:pt>
                <c:pt idx="25">
                  <c:v>Day 26</c:v>
                </c:pt>
                <c:pt idx="26">
                  <c:v>Day 27</c:v>
                </c:pt>
                <c:pt idx="27">
                  <c:v>Day 28</c:v>
                </c:pt>
                <c:pt idx="28">
                  <c:v>Day 29</c:v>
                </c:pt>
                <c:pt idx="29">
                  <c:v>Day 30</c:v>
                </c:pt>
              </c:strCache>
            </c:strRef>
          </c:cat>
          <c:val>
            <c:numRef>
              <c:f>'Sprint 2 Backlog'!$K$82:$AN$82</c:f>
              <c:numCache>
                <c:formatCode>General</c:formatCode>
                <c:ptCount val="30"/>
                <c:pt idx="0">
                  <c:v>24</c:v>
                </c:pt>
                <c:pt idx="1">
                  <c:v>45</c:v>
                </c:pt>
                <c:pt idx="2">
                  <c:v>57</c:v>
                </c:pt>
                <c:pt idx="3">
                  <c:v>90</c:v>
                </c:pt>
                <c:pt idx="4">
                  <c:v>132</c:v>
                </c:pt>
                <c:pt idx="5">
                  <c:v>171</c:v>
                </c:pt>
                <c:pt idx="6">
                  <c:v>186</c:v>
                </c:pt>
                <c:pt idx="7">
                  <c:v>204</c:v>
                </c:pt>
                <c:pt idx="8">
                  <c:v>227</c:v>
                </c:pt>
                <c:pt idx="9">
                  <c:v>233</c:v>
                </c:pt>
                <c:pt idx="10">
                  <c:v>251</c:v>
                </c:pt>
                <c:pt idx="11">
                  <c:v>261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293</c:v>
                </c:pt>
                <c:pt idx="16">
                  <c:v>308</c:v>
                </c:pt>
                <c:pt idx="17">
                  <c:v>308</c:v>
                </c:pt>
                <c:pt idx="18">
                  <c:v>318</c:v>
                </c:pt>
                <c:pt idx="19">
                  <c:v>318</c:v>
                </c:pt>
                <c:pt idx="20">
                  <c:v>325</c:v>
                </c:pt>
                <c:pt idx="21">
                  <c:v>333</c:v>
                </c:pt>
                <c:pt idx="22">
                  <c:v>333</c:v>
                </c:pt>
                <c:pt idx="23">
                  <c:v>333</c:v>
                </c:pt>
                <c:pt idx="24">
                  <c:v>359</c:v>
                </c:pt>
                <c:pt idx="25">
                  <c:v>368</c:v>
                </c:pt>
                <c:pt idx="26">
                  <c:v>368</c:v>
                </c:pt>
                <c:pt idx="27">
                  <c:v>376</c:v>
                </c:pt>
                <c:pt idx="28">
                  <c:v>376</c:v>
                </c:pt>
                <c:pt idx="29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5-46B6-9F06-0A24B7A87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34736"/>
        <c:axId val="45435216"/>
      </c:lineChart>
      <c:catAx>
        <c:axId val="4543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435216"/>
        <c:crosses val="autoZero"/>
        <c:auto val="1"/>
        <c:lblAlgn val="ctr"/>
        <c:lblOffset val="100"/>
        <c:tickLblSkip val="1"/>
        <c:noMultiLvlLbl val="0"/>
      </c:catAx>
      <c:valAx>
        <c:axId val="454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434736"/>
        <c:crosses val="autoZero"/>
        <c:crossBetween val="between"/>
      </c:valAx>
      <c:spPr>
        <a:noFill/>
        <a:ln>
          <a:solidFill>
            <a:schemeClr val="tx2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Down Chart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8852178278851507"/>
          <c:y val="4.0780141843971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796220074763371E-2"/>
          <c:y val="0.10905628152863872"/>
          <c:w val="0.91741952000318139"/>
          <c:h val="0.75166089611139031"/>
        </c:manualLayout>
      </c:layout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'Sprint 3 Backlog'!$K$7:$AQ$7</c:f>
              <c:strCache>
                <c:ptCount val="33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  <c:pt idx="22">
                  <c:v>Day 22</c:v>
                </c:pt>
                <c:pt idx="23">
                  <c:v>Day 23</c:v>
                </c:pt>
                <c:pt idx="24">
                  <c:v>Day 24</c:v>
                </c:pt>
                <c:pt idx="25">
                  <c:v>Day 25</c:v>
                </c:pt>
                <c:pt idx="26">
                  <c:v>Day 26</c:v>
                </c:pt>
                <c:pt idx="27">
                  <c:v>Day 27</c:v>
                </c:pt>
                <c:pt idx="28">
                  <c:v>Day 28</c:v>
                </c:pt>
                <c:pt idx="29">
                  <c:v>Day 29</c:v>
                </c:pt>
                <c:pt idx="30">
                  <c:v>Day 30</c:v>
                </c:pt>
                <c:pt idx="31">
                  <c:v>Day 31</c:v>
                </c:pt>
                <c:pt idx="32">
                  <c:v>Day 32</c:v>
                </c:pt>
              </c:strCache>
            </c:strRef>
          </c:cat>
          <c:val>
            <c:numRef>
              <c:f>'Sprint 3 Backlog'!$K$74:$AQ$74</c:f>
              <c:numCache>
                <c:formatCode>General</c:formatCode>
                <c:ptCount val="33"/>
                <c:pt idx="0">
                  <c:v>508</c:v>
                </c:pt>
                <c:pt idx="1">
                  <c:v>508</c:v>
                </c:pt>
                <c:pt idx="2">
                  <c:v>504</c:v>
                </c:pt>
                <c:pt idx="3">
                  <c:v>496</c:v>
                </c:pt>
                <c:pt idx="4">
                  <c:v>492</c:v>
                </c:pt>
                <c:pt idx="5">
                  <c:v>488</c:v>
                </c:pt>
                <c:pt idx="6">
                  <c:v>478</c:v>
                </c:pt>
                <c:pt idx="7">
                  <c:v>460</c:v>
                </c:pt>
                <c:pt idx="8">
                  <c:v>444</c:v>
                </c:pt>
                <c:pt idx="9">
                  <c:v>424</c:v>
                </c:pt>
                <c:pt idx="10">
                  <c:v>416</c:v>
                </c:pt>
                <c:pt idx="11">
                  <c:v>390</c:v>
                </c:pt>
                <c:pt idx="12">
                  <c:v>376</c:v>
                </c:pt>
                <c:pt idx="13">
                  <c:v>362</c:v>
                </c:pt>
                <c:pt idx="14">
                  <c:v>348</c:v>
                </c:pt>
                <c:pt idx="15">
                  <c:v>334</c:v>
                </c:pt>
                <c:pt idx="16">
                  <c:v>324</c:v>
                </c:pt>
                <c:pt idx="17">
                  <c:v>314</c:v>
                </c:pt>
                <c:pt idx="18">
                  <c:v>304</c:v>
                </c:pt>
                <c:pt idx="19">
                  <c:v>270</c:v>
                </c:pt>
                <c:pt idx="20">
                  <c:v>240</c:v>
                </c:pt>
                <c:pt idx="21">
                  <c:v>228</c:v>
                </c:pt>
                <c:pt idx="22">
                  <c:v>208</c:v>
                </c:pt>
                <c:pt idx="23">
                  <c:v>204</c:v>
                </c:pt>
                <c:pt idx="24">
                  <c:v>192</c:v>
                </c:pt>
                <c:pt idx="25">
                  <c:v>170</c:v>
                </c:pt>
                <c:pt idx="26">
                  <c:v>143</c:v>
                </c:pt>
                <c:pt idx="27">
                  <c:v>140</c:v>
                </c:pt>
                <c:pt idx="28">
                  <c:v>136</c:v>
                </c:pt>
                <c:pt idx="29">
                  <c:v>112</c:v>
                </c:pt>
                <c:pt idx="30">
                  <c:v>106</c:v>
                </c:pt>
                <c:pt idx="31">
                  <c:v>84</c:v>
                </c:pt>
                <c:pt idx="32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7D-4F81-813C-A5B8A17F3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945008"/>
        <c:axId val="2010944048"/>
      </c:lineChart>
      <c:catAx>
        <c:axId val="201094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0944048"/>
        <c:crosses val="autoZero"/>
        <c:auto val="0"/>
        <c:lblAlgn val="ctr"/>
        <c:lblOffset val="100"/>
        <c:tickLblSkip val="1"/>
        <c:noMultiLvlLbl val="0"/>
      </c:catAx>
      <c:valAx>
        <c:axId val="2010944048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solidFill>
            <a:schemeClr val="bg2">
              <a:alpha val="87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10945008"/>
        <c:crossesAt val="2"/>
        <c:crossBetween val="between"/>
      </c:valAx>
      <c:spPr>
        <a:noFill/>
        <a:ln>
          <a:solidFill>
            <a:schemeClr val="tx2"/>
          </a:solidFill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sq" cmpd="sng" algn="ctr">
      <a:solidFill>
        <a:schemeClr val="tx2"/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Up Chart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41587665533285612"/>
          <c:y val="3.4722222222222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46245923804978E-2"/>
          <c:y val="0.10253090039277005"/>
          <c:w val="0.91527877197168539"/>
          <c:h val="0.75480189311442447"/>
        </c:manualLayout>
      </c:layout>
      <c:lineChart>
        <c:grouping val="stacked"/>
        <c:varyColors val="0"/>
        <c:ser>
          <c:idx val="0"/>
          <c:order val="0"/>
          <c:spPr>
            <a:ln w="2540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'Sprint 3 Backlog'!$K$7:$AQ$7</c:f>
              <c:strCache>
                <c:ptCount val="33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  <c:pt idx="22">
                  <c:v>Day 22</c:v>
                </c:pt>
                <c:pt idx="23">
                  <c:v>Day 23</c:v>
                </c:pt>
                <c:pt idx="24">
                  <c:v>Day 24</c:v>
                </c:pt>
                <c:pt idx="25">
                  <c:v>Day 25</c:v>
                </c:pt>
                <c:pt idx="26">
                  <c:v>Day 26</c:v>
                </c:pt>
                <c:pt idx="27">
                  <c:v>Day 27</c:v>
                </c:pt>
                <c:pt idx="28">
                  <c:v>Day 28</c:v>
                </c:pt>
                <c:pt idx="29">
                  <c:v>Day 29</c:v>
                </c:pt>
                <c:pt idx="30">
                  <c:v>Day 30</c:v>
                </c:pt>
                <c:pt idx="31">
                  <c:v>Day 31</c:v>
                </c:pt>
                <c:pt idx="32">
                  <c:v>Day 32</c:v>
                </c:pt>
              </c:strCache>
            </c:strRef>
          </c:cat>
          <c:val>
            <c:numRef>
              <c:f>'Sprint 3 Backlog'!$K$75:$AQ$75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30</c:v>
                </c:pt>
                <c:pt idx="7">
                  <c:v>48</c:v>
                </c:pt>
                <c:pt idx="8">
                  <c:v>64</c:v>
                </c:pt>
                <c:pt idx="9">
                  <c:v>84</c:v>
                </c:pt>
                <c:pt idx="10">
                  <c:v>92</c:v>
                </c:pt>
                <c:pt idx="11">
                  <c:v>118</c:v>
                </c:pt>
                <c:pt idx="12">
                  <c:v>132</c:v>
                </c:pt>
                <c:pt idx="13">
                  <c:v>146</c:v>
                </c:pt>
                <c:pt idx="14">
                  <c:v>160</c:v>
                </c:pt>
                <c:pt idx="15">
                  <c:v>174</c:v>
                </c:pt>
                <c:pt idx="16">
                  <c:v>184</c:v>
                </c:pt>
                <c:pt idx="17">
                  <c:v>194</c:v>
                </c:pt>
                <c:pt idx="18">
                  <c:v>204</c:v>
                </c:pt>
                <c:pt idx="19">
                  <c:v>238</c:v>
                </c:pt>
                <c:pt idx="20">
                  <c:v>268</c:v>
                </c:pt>
                <c:pt idx="21">
                  <c:v>280</c:v>
                </c:pt>
                <c:pt idx="22">
                  <c:v>300</c:v>
                </c:pt>
                <c:pt idx="23">
                  <c:v>304</c:v>
                </c:pt>
                <c:pt idx="24">
                  <c:v>316</c:v>
                </c:pt>
                <c:pt idx="25">
                  <c:v>338</c:v>
                </c:pt>
                <c:pt idx="26">
                  <c:v>365</c:v>
                </c:pt>
                <c:pt idx="27">
                  <c:v>368</c:v>
                </c:pt>
                <c:pt idx="28">
                  <c:v>372</c:v>
                </c:pt>
                <c:pt idx="29">
                  <c:v>396</c:v>
                </c:pt>
                <c:pt idx="30">
                  <c:v>402</c:v>
                </c:pt>
                <c:pt idx="31">
                  <c:v>424</c:v>
                </c:pt>
                <c:pt idx="32">
                  <c:v>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7-48A4-9BE4-EB5BD757B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683520"/>
        <c:axId val="92680160"/>
      </c:lineChart>
      <c:catAx>
        <c:axId val="9268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2680160"/>
        <c:crosses val="autoZero"/>
        <c:auto val="1"/>
        <c:lblAlgn val="ctr"/>
        <c:lblOffset val="100"/>
        <c:tickLblSkip val="1"/>
        <c:noMultiLvlLbl val="0"/>
      </c:catAx>
      <c:valAx>
        <c:axId val="9268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2683520"/>
        <c:crossesAt val="1"/>
        <c:crossBetween val="between"/>
        <c:majorUnit val="100"/>
      </c:valAx>
      <c:spPr>
        <a:noFill/>
        <a:ln>
          <a:solidFill>
            <a:schemeClr val="tx2"/>
          </a:solidFill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sq" cmpd="sng" algn="ctr">
      <a:solidFill>
        <a:schemeClr val="tx2"/>
      </a:solidFill>
      <a:beve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2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0">
                <a:solidFill>
                  <a:schemeClr val="dk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2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33228942973031E-2"/>
          <c:y val="0.11668737551423092"/>
          <c:w val="0.92322909210212345"/>
          <c:h val="0.7432321624690531"/>
        </c:manualLayout>
      </c:layout>
      <c:lineChart>
        <c:grouping val="standard"/>
        <c:varyColors val="1"/>
        <c:ser>
          <c:idx val="109"/>
          <c:order val="107"/>
          <c:spPr>
            <a:ln w="19050" cap="rnd" cmpd="sng" algn="ctr">
              <a:solidFill>
                <a:schemeClr val="accent3">
                  <a:shade val="3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4 Backlog'!$K$7:$AJ$7</c:f>
              <c:strCache>
                <c:ptCount val="26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  <c:pt idx="22">
                  <c:v>Day 23</c:v>
                </c:pt>
                <c:pt idx="23">
                  <c:v>Day 24</c:v>
                </c:pt>
                <c:pt idx="24">
                  <c:v>Day 25</c:v>
                </c:pt>
                <c:pt idx="25">
                  <c:v>Day 26</c:v>
                </c:pt>
              </c:strCache>
            </c:strRef>
          </c:cat>
          <c:val>
            <c:numRef>
              <c:f>'Sprint 4 Backlog'!$K$51:$AJ$51</c:f>
              <c:numCache>
                <c:formatCode>General</c:formatCode>
                <c:ptCount val="26"/>
                <c:pt idx="0">
                  <c:v>195</c:v>
                </c:pt>
                <c:pt idx="1">
                  <c:v>190</c:v>
                </c:pt>
                <c:pt idx="2">
                  <c:v>190</c:v>
                </c:pt>
                <c:pt idx="3">
                  <c:v>187</c:v>
                </c:pt>
                <c:pt idx="4">
                  <c:v>184</c:v>
                </c:pt>
                <c:pt idx="5">
                  <c:v>184</c:v>
                </c:pt>
                <c:pt idx="6">
                  <c:v>184</c:v>
                </c:pt>
                <c:pt idx="7">
                  <c:v>178</c:v>
                </c:pt>
                <c:pt idx="8">
                  <c:v>178</c:v>
                </c:pt>
                <c:pt idx="9">
                  <c:v>160</c:v>
                </c:pt>
                <c:pt idx="10">
                  <c:v>155</c:v>
                </c:pt>
                <c:pt idx="11">
                  <c:v>135</c:v>
                </c:pt>
                <c:pt idx="12">
                  <c:v>130</c:v>
                </c:pt>
                <c:pt idx="13">
                  <c:v>126</c:v>
                </c:pt>
                <c:pt idx="14">
                  <c:v>120</c:v>
                </c:pt>
                <c:pt idx="15">
                  <c:v>120</c:v>
                </c:pt>
                <c:pt idx="16">
                  <c:v>117</c:v>
                </c:pt>
                <c:pt idx="17">
                  <c:v>112</c:v>
                </c:pt>
                <c:pt idx="18">
                  <c:v>112</c:v>
                </c:pt>
                <c:pt idx="19">
                  <c:v>94</c:v>
                </c:pt>
                <c:pt idx="20">
                  <c:v>83</c:v>
                </c:pt>
                <c:pt idx="21">
                  <c:v>83</c:v>
                </c:pt>
                <c:pt idx="22">
                  <c:v>53</c:v>
                </c:pt>
                <c:pt idx="23">
                  <c:v>32</c:v>
                </c:pt>
                <c:pt idx="24">
                  <c:v>26</c:v>
                </c:pt>
                <c:pt idx="2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BA3-4E13-9569-DE388A9B6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7450581"/>
        <c:axId val="16619939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19050" cap="rnd" cmpd="sng" algn="ctr">
                    <a:solidFill>
                      <a:schemeClr val="accent3">
                        <a:tint val="3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 lvl="0">
                        <a:defRPr sz="900" b="0" i="0" u="none" strike="noStrike" kern="1200" baseline="0">
                          <a:solidFill>
                            <a:srgbClr val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'Sprint 4 Backlog'!$K$8:$AJ$8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3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BA3-4E13-9569-DE388A9B682C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19050" cap="rnd" cmpd="sng" algn="ctr">
                    <a:solidFill>
                      <a:schemeClr val="accent3">
                        <a:tint val="3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Backlog'!$K$9:$AJ$9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0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A3-4E13-9569-DE388A9B682C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19050" cap="rnd" cmpd="sng" algn="ctr">
                    <a:solidFill>
                      <a:schemeClr val="accent3">
                        <a:tint val="3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Backlog'!$K$10:$AJ$10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1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A3-4E13-9569-DE388A9B682C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19050" cap="rnd" cmpd="sng" algn="ctr">
                    <a:solidFill>
                      <a:schemeClr val="accent3">
                        <a:tint val="3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Backlog'!$K$11:$AJ$11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A3-4E13-9569-DE388A9B682C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19050" cap="rnd" cmpd="sng" algn="ctr">
                    <a:solidFill>
                      <a:schemeClr val="accent3">
                        <a:tint val="3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Backlog'!$K$13:$AJ$13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BA3-4E13-9569-DE388A9B682C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19050" cap="rnd" cmpd="sng" algn="ctr">
                    <a:solidFill>
                      <a:schemeClr val="accent3">
                        <a:tint val="3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Backlog'!$K$14:$AJ$14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BA3-4E13-9569-DE388A9B682C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19050" cap="rnd" cmpd="sng" algn="ctr">
                    <a:solidFill>
                      <a:schemeClr val="accent3">
                        <a:tint val="4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Backlog'!$K$15:$AJ$15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7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BA3-4E13-9569-DE388A9B682C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19050" cap="rnd" cmpd="sng" algn="ctr">
                    <a:solidFill>
                      <a:schemeClr val="accent3">
                        <a:tint val="4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Backlog'!$K$16:$AJ$16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1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BA3-4E13-9569-DE388A9B682C}"/>
                  </c:ext>
                </c:extLst>
              </c15:ser>
            </c15:filteredLineSeries>
            <c15:filteredLineSeries>
              <c15:ser>
                <c:idx val="9"/>
                <c:order val="8"/>
                <c:spPr>
                  <a:ln w="19050" cap="rnd" cmpd="sng" algn="ctr">
                    <a:solidFill>
                      <a:schemeClr val="accent3">
                        <a:tint val="4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Backlog'!$K$17:$AJ$17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1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BA3-4E13-9569-DE388A9B682C}"/>
                  </c:ext>
                </c:extLst>
              </c15:ser>
            </c15:filteredLineSeries>
            <c15:filteredLineSeries>
              <c15:ser>
                <c:idx val="10"/>
                <c:order val="9"/>
                <c:spPr>
                  <a:ln w="19050" cap="rnd" cmpd="sng" algn="ctr">
                    <a:solidFill>
                      <a:schemeClr val="accent3">
                        <a:tint val="4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Backlog'!$K$18:$AJ$18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BA3-4E13-9569-DE388A9B682C}"/>
                  </c:ext>
                </c:extLst>
              </c15:ser>
            </c15:filteredLineSeries>
            <c15:filteredLineSeries>
              <c15:ser>
                <c:idx val="11"/>
                <c:order val="10"/>
                <c:spPr>
                  <a:ln w="19050" cap="rnd" cmpd="sng" algn="ctr">
                    <a:solidFill>
                      <a:schemeClr val="accent3">
                        <a:tint val="4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Backlog'!$K$19:$AJ$19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BA3-4E13-9569-DE388A9B682C}"/>
                  </c:ext>
                </c:extLst>
              </c15:ser>
            </c15:filteredLineSeries>
            <c15:filteredLineSeries>
              <c15:ser>
                <c:idx val="12"/>
                <c:order val="11"/>
                <c:spPr>
                  <a:ln w="19050" cap="rnd" cmpd="sng" algn="ctr">
                    <a:solidFill>
                      <a:schemeClr val="accent3">
                        <a:tint val="4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Backlog'!$K$20:$AJ$20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8BA3-4E13-9569-DE388A9B682C}"/>
                  </c:ext>
                </c:extLst>
              </c15:ser>
            </c15:filteredLineSeries>
            <c15:filteredLineSeries>
              <c15:ser>
                <c:idx val="13"/>
                <c:order val="12"/>
                <c:spPr>
                  <a:ln w="19050" cap="rnd" cmpd="sng" algn="ctr">
                    <a:solidFill>
                      <a:schemeClr val="accent3">
                        <a:tint val="4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Backlog'!$K$21:$AJ$21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9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8BA3-4E13-9569-DE388A9B682C}"/>
                  </c:ext>
                </c:extLst>
              </c15:ser>
            </c15:filteredLineSeries>
            <c15:filteredLineSeries>
              <c15:ser>
                <c:idx val="14"/>
                <c:order val="13"/>
                <c:spPr>
                  <a:ln w="19050" cap="rnd" cmpd="sng" algn="ctr">
                    <a:solidFill>
                      <a:schemeClr val="accent3">
                        <a:tint val="4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Backlog'!$K$22:$AJ$22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9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8BA3-4E13-9569-DE388A9B682C}"/>
                  </c:ext>
                </c:extLst>
              </c15:ser>
            </c15:filteredLineSeries>
            <c15:filteredLineSeries>
              <c15:ser>
                <c:idx val="15"/>
                <c:order val="14"/>
                <c:spPr>
                  <a:ln w="19050" cap="rnd" cmpd="sng" algn="ctr">
                    <a:solidFill>
                      <a:schemeClr val="accent3">
                        <a:tint val="5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Backlog'!$K$23:$AJ$23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2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8BA3-4E13-9569-DE388A9B682C}"/>
                  </c:ext>
                </c:extLst>
              </c15:ser>
            </c15:filteredLineSeries>
            <c15:filteredLineSeries>
              <c15:ser>
                <c:idx val="16"/>
                <c:order val="15"/>
                <c:spPr>
                  <a:ln w="19050" cap="rnd" cmpd="sng" algn="ctr">
                    <a:solidFill>
                      <a:schemeClr val="accent3">
                        <a:tint val="5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Backlog'!$K$24:$AJ$24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8BA3-4E13-9569-DE388A9B682C}"/>
                  </c:ext>
                </c:extLst>
              </c15:ser>
            </c15:filteredLineSeries>
            <c15:filteredLineSeries>
              <c15:ser>
                <c:idx val="17"/>
                <c:order val="16"/>
                <c:spPr>
                  <a:ln w="19050" cap="rnd" cmpd="sng" algn="ctr">
                    <a:solidFill>
                      <a:schemeClr val="accent3">
                        <a:tint val="5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Backlog'!$K$25:$AJ$25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7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BA3-4E13-9569-DE388A9B682C}"/>
                  </c:ext>
                </c:extLst>
              </c15:ser>
            </c15:filteredLineSeries>
            <c15:filteredLineSeries>
              <c15:ser>
                <c:idx val="18"/>
                <c:order val="17"/>
                <c:spPr>
                  <a:ln w="19050" cap="rnd" cmpd="sng" algn="ctr">
                    <a:solidFill>
                      <a:schemeClr val="accent3">
                        <a:tint val="5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Backlog'!$K$26:$AJ$26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8BA3-4E13-9569-DE388A9B682C}"/>
                  </c:ext>
                </c:extLst>
              </c15:ser>
            </c15:filteredLineSeries>
            <c15:filteredLineSeries>
              <c15:ser>
                <c:idx val="19"/>
                <c:order val="18"/>
                <c:spPr>
                  <a:ln w="19050" cap="rnd" cmpd="sng" algn="ctr">
                    <a:solidFill>
                      <a:schemeClr val="accent3">
                        <a:tint val="5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Backlog'!$K$27:$AJ$27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8BA3-4E13-9569-DE388A9B682C}"/>
                  </c:ext>
                </c:extLst>
              </c15:ser>
            </c15:filteredLineSeries>
            <c15:filteredLineSeries>
              <c15:ser>
                <c:idx val="20"/>
                <c:order val="19"/>
                <c:spPr>
                  <a:ln w="19050" cap="rnd" cmpd="sng" algn="ctr">
                    <a:solidFill>
                      <a:schemeClr val="accent3">
                        <a:tint val="5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Backlog'!$K$28:$AJ$28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8BA3-4E13-9569-DE388A9B682C}"/>
                  </c:ext>
                </c:extLst>
              </c15:ser>
            </c15:filteredLineSeries>
            <c15:filteredLineSeries>
              <c15:ser>
                <c:idx val="21"/>
                <c:order val="20"/>
                <c:spPr>
                  <a:ln w="19050" cap="rnd" cmpd="sng" algn="ctr">
                    <a:solidFill>
                      <a:schemeClr val="accent3">
                        <a:tint val="5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Backlog'!$K$29:$AJ$29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8BA3-4E13-9569-DE388A9B682C}"/>
                  </c:ext>
                </c:extLst>
              </c15:ser>
            </c15:filteredLineSeries>
            <c15:filteredLineSeries>
              <c15:ser>
                <c:idx val="22"/>
                <c:order val="21"/>
                <c:spPr>
                  <a:ln w="19050" cap="rnd" cmpd="sng" algn="ctr">
                    <a:solidFill>
                      <a:schemeClr val="accent3">
                        <a:tint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Backlog'!$K$30:$AJ$30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8BA3-4E13-9569-DE388A9B682C}"/>
                  </c:ext>
                </c:extLst>
              </c15:ser>
            </c15:filteredLineSeries>
            <c15:filteredLineSeries>
              <c15:ser>
                <c:idx val="23"/>
                <c:order val="22"/>
                <c:spPr>
                  <a:ln w="19050" cap="rnd" cmpd="sng" algn="ctr">
                    <a:solidFill>
                      <a:schemeClr val="accent3">
                        <a:tint val="6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Backlog'!$K$31:$AJ$31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8BA3-4E13-9569-DE388A9B682C}"/>
                  </c:ext>
                </c:extLst>
              </c15:ser>
            </c15:filteredLineSeries>
            <c15:filteredLineSeries>
              <c15:ser>
                <c:idx val="24"/>
                <c:order val="23"/>
                <c:spPr>
                  <a:ln w="19050" cap="rnd" cmpd="sng" algn="ctr">
                    <a:solidFill>
                      <a:schemeClr val="accent3">
                        <a:tint val="6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Backlog'!$K$32:$AJ$32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8BA3-4E13-9569-DE388A9B682C}"/>
                  </c:ext>
                </c:extLst>
              </c15:ser>
            </c15:filteredLineSeries>
            <c15:filteredLineSeries>
              <c15:ser>
                <c:idx val="25"/>
                <c:order val="24"/>
                <c:spPr>
                  <a:ln w="19050" cap="rnd" cmpd="sng" algn="ctr">
                    <a:solidFill>
                      <a:schemeClr val="accent3">
                        <a:tint val="6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Backlog'!$K$33:$AJ$33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8BA3-4E13-9569-DE388A9B682C}"/>
                  </c:ext>
                </c:extLst>
              </c15:ser>
            </c15:filteredLineSeries>
            <c15:filteredLineSeries>
              <c15:ser>
                <c:idx val="26"/>
                <c:order val="25"/>
                <c:spPr>
                  <a:ln w="19050" cap="rnd" cmpd="sng" algn="ctr">
                    <a:solidFill>
                      <a:schemeClr val="accent3">
                        <a:tint val="6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Backlog'!$K$34:$AJ$34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BA3-4E13-9569-DE388A9B682C}"/>
                  </c:ext>
                </c:extLst>
              </c15:ser>
            </c15:filteredLineSeries>
            <c15:filteredLineSeries>
              <c15:ser>
                <c:idx val="27"/>
                <c:order val="26"/>
                <c:spPr>
                  <a:ln w="19050" cap="rnd" cmpd="sng" algn="ctr">
                    <a:solidFill>
                      <a:schemeClr val="accent3">
                        <a:tint val="6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Backlog'!$K$35:$AJ$35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8BA3-4E13-9569-DE388A9B682C}"/>
                  </c:ext>
                </c:extLst>
              </c15:ser>
            </c15:filteredLineSeries>
            <c15:filteredLineSeries>
              <c15:ser>
                <c:idx val="28"/>
                <c:order val="27"/>
                <c:spPr>
                  <a:ln w="19050" cap="rnd" cmpd="sng" algn="ctr">
                    <a:solidFill>
                      <a:schemeClr val="accent3">
                        <a:tint val="6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Backlog'!$K$36:$AJ$36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0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8BA3-4E13-9569-DE388A9B682C}"/>
                  </c:ext>
                </c:extLst>
              </c15:ser>
            </c15:filteredLineSeries>
            <c15:filteredLineSeries>
              <c15:ser>
                <c:idx val="29"/>
                <c:order val="28"/>
                <c:spPr>
                  <a:ln w="19050" cap="rnd" cmpd="sng" algn="ctr">
                    <a:solidFill>
                      <a:schemeClr val="accent3">
                        <a:tint val="6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Backlog'!$K$37:$AJ$37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8BA3-4E13-9569-DE388A9B682C}"/>
                  </c:ext>
                </c:extLst>
              </c15:ser>
            </c15:filteredLineSeries>
            <c15:filteredLineSeries>
              <c15:ser>
                <c:idx val="30"/>
                <c:order val="29"/>
                <c:spPr>
                  <a:ln w="19050" cap="rnd" cmpd="sng" algn="ctr">
                    <a:solidFill>
                      <a:schemeClr val="accent3">
                        <a:tint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Backlog'!$K$38:$AJ$38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0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8BA3-4E13-9569-DE388A9B682C}"/>
                  </c:ext>
                </c:extLst>
              </c15:ser>
            </c15:filteredLineSeries>
            <c15:filteredLineSeries>
              <c15:ser>
                <c:idx val="31"/>
                <c:order val="30"/>
                <c:spPr>
                  <a:ln w="19050" cap="rnd" cmpd="sng" algn="ctr">
                    <a:solidFill>
                      <a:schemeClr val="accent3">
                        <a:tint val="7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Backlog'!$K$39:$AJ$39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8BA3-4E13-9569-DE388A9B682C}"/>
                  </c:ext>
                </c:extLst>
              </c15:ser>
            </c15:filteredLineSeries>
            <c15:filteredLineSeries>
              <c15:ser>
                <c:idx val="32"/>
                <c:order val="31"/>
                <c:spPr>
                  <a:ln w="19050" cap="rnd" cmpd="sng" algn="ctr">
                    <a:solidFill>
                      <a:schemeClr val="accent3">
                        <a:tint val="7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Backlog'!$K$40:$AJ$40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8BA3-4E13-9569-DE388A9B682C}"/>
                  </c:ext>
                </c:extLst>
              </c15:ser>
            </c15:filteredLineSeries>
            <c15:filteredLineSeries>
              <c15:ser>
                <c:idx val="33"/>
                <c:order val="32"/>
                <c:spPr>
                  <a:ln w="19050" cap="rnd" cmpd="sng" algn="ctr">
                    <a:solidFill>
                      <a:schemeClr val="accent3">
                        <a:tint val="7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Backlog'!$K$41:$AJ$41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8BA3-4E13-9569-DE388A9B682C}"/>
                  </c:ext>
                </c:extLst>
              </c15:ser>
            </c15:filteredLineSeries>
            <c15:filteredLineSeries>
              <c15:ser>
                <c:idx val="34"/>
                <c:order val="33"/>
                <c:spPr>
                  <a:ln w="19050" cap="rnd" cmpd="sng" algn="ctr">
                    <a:solidFill>
                      <a:schemeClr val="accent3">
                        <a:tint val="7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Backlog'!$K$42:$AJ$42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8BA3-4E13-9569-DE388A9B682C}"/>
                  </c:ext>
                </c:extLst>
              </c15:ser>
            </c15:filteredLineSeries>
            <c15:filteredLineSeries>
              <c15:ser>
                <c:idx val="36"/>
                <c:order val="34"/>
                <c:spPr>
                  <a:ln w="19050" cap="rnd" cmpd="sng" algn="ctr">
                    <a:solidFill>
                      <a:schemeClr val="accent3">
                        <a:tint val="7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Backlog'!$K$44:$AJ$44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0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8BA3-4E13-9569-DE388A9B682C}"/>
                  </c:ext>
                </c:extLst>
              </c15:ser>
            </c15:filteredLineSeries>
            <c15:filteredLineSeries>
              <c15:ser>
                <c:idx val="37"/>
                <c:order val="35"/>
                <c:spPr>
                  <a:ln w="19050" cap="rnd" cmpd="sng" algn="ctr">
                    <a:solidFill>
                      <a:schemeClr val="accent3">
                        <a:tint val="7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Backlog'!$K$45:$AJ$45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8BA3-4E13-9569-DE388A9B682C}"/>
                  </c:ext>
                </c:extLst>
              </c15:ser>
            </c15:filteredLineSeries>
            <c15:filteredLineSeries>
              <c15:ser>
                <c:idx val="38"/>
                <c:order val="36"/>
                <c:spPr>
                  <a:ln w="19050" cap="rnd" cmpd="sng" algn="ctr">
                    <a:solidFill>
                      <a:schemeClr val="accent3">
                        <a:tint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Backlog'!$K$46:$AJ$46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8BA3-4E13-9569-DE388A9B682C}"/>
                  </c:ext>
                </c:extLst>
              </c15:ser>
            </c15:filteredLineSeries>
            <c15:filteredLineSeries>
              <c15:ser>
                <c:idx val="39"/>
                <c:order val="37"/>
                <c:spPr>
                  <a:ln w="19050" cap="rnd" cmpd="sng" algn="ctr">
                    <a:solidFill>
                      <a:schemeClr val="accent3">
                        <a:tint val="8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Backlog'!$K$47:$AJ$47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8BA3-4E13-9569-DE388A9B682C}"/>
                  </c:ext>
                </c:extLst>
              </c15:ser>
            </c15:filteredLineSeries>
            <c15:filteredLineSeries>
              <c15:ser>
                <c:idx val="40"/>
                <c:order val="38"/>
                <c:spPr>
                  <a:ln w="19050" cap="rnd" cmpd="sng" algn="ctr">
                    <a:solidFill>
                      <a:schemeClr val="accent3">
                        <a:tint val="8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Backlog'!$K$48:$AJ$48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8BA3-4E13-9569-DE388A9B682C}"/>
                  </c:ext>
                </c:extLst>
              </c15:ser>
            </c15:filteredLineSeries>
            <c15:filteredLineSeries>
              <c15:ser>
                <c:idx val="41"/>
                <c:order val="39"/>
                <c:spPr>
                  <a:ln w="19050" cap="rnd" cmpd="sng" algn="ctr">
                    <a:solidFill>
                      <a:schemeClr val="accent3">
                        <a:tint val="8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Backlog'!$K$49:$AJ$49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8BA3-4E13-9569-DE388A9B682C}"/>
                  </c:ext>
                </c:extLst>
              </c15:ser>
            </c15:filteredLineSeries>
            <c15:filteredLineSeries>
              <c15:ser>
                <c:idx val="42"/>
                <c:order val="40"/>
                <c:spPr>
                  <a:ln w="19050" cap="rnd" cmpd="sng" algn="ctr">
                    <a:solidFill>
                      <a:schemeClr val="accent3">
                        <a:tint val="8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8BA3-4E13-9569-DE388A9B682C}"/>
                  </c:ext>
                </c:extLst>
              </c15:ser>
            </c15:filteredLineSeries>
            <c15:filteredLineSeries>
              <c15:ser>
                <c:idx val="43"/>
                <c:order val="41"/>
                <c:spPr>
                  <a:ln w="19050" cap="rnd" cmpd="sng" algn="ctr">
                    <a:solidFill>
                      <a:schemeClr val="accent3">
                        <a:tint val="8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8BA3-4E13-9569-DE388A9B682C}"/>
                  </c:ext>
                </c:extLst>
              </c15:ser>
            </c15:filteredLineSeries>
            <c15:filteredLineSeries>
              <c15:ser>
                <c:idx val="44"/>
                <c:order val="42"/>
                <c:spPr>
                  <a:ln w="19050" cap="rnd" cmpd="sng" algn="ctr">
                    <a:solidFill>
                      <a:schemeClr val="accent3">
                        <a:tint val="8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8BA3-4E13-9569-DE388A9B682C}"/>
                  </c:ext>
                </c:extLst>
              </c15:ser>
            </c15:filteredLineSeries>
            <c15:filteredLineSeries>
              <c15:ser>
                <c:idx val="45"/>
                <c:order val="43"/>
                <c:spPr>
                  <a:ln w="19050" cap="rnd" cmpd="sng" algn="ctr">
                    <a:solidFill>
                      <a:schemeClr val="accent3">
                        <a:tint val="8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8BA3-4E13-9569-DE388A9B682C}"/>
                  </c:ext>
                </c:extLst>
              </c15:ser>
            </c15:filteredLineSeries>
            <c15:filteredLineSeries>
              <c15:ser>
                <c:idx val="46"/>
                <c:order val="44"/>
                <c:spPr>
                  <a:ln w="19050" cap="rnd" cmpd="sng" algn="ctr">
                    <a:solidFill>
                      <a:schemeClr val="accent3">
                        <a:tint val="9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8BA3-4E13-9569-DE388A9B682C}"/>
                  </c:ext>
                </c:extLst>
              </c15:ser>
            </c15:filteredLineSeries>
            <c15:filteredLineSeries>
              <c15:ser>
                <c:idx val="47"/>
                <c:order val="45"/>
                <c:spPr>
                  <a:ln w="19050" cap="rnd" cmpd="sng" algn="ctr">
                    <a:solidFill>
                      <a:schemeClr val="accent3">
                        <a:tint val="9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8BA3-4E13-9569-DE388A9B682C}"/>
                  </c:ext>
                </c:extLst>
              </c15:ser>
            </c15:filteredLineSeries>
            <c15:filteredLineSeries>
              <c15:ser>
                <c:idx val="48"/>
                <c:order val="46"/>
                <c:spPr>
                  <a:ln w="19050" cap="rnd" cmpd="sng" algn="ctr">
                    <a:solidFill>
                      <a:schemeClr val="accent3">
                        <a:tint val="9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8BA3-4E13-9569-DE388A9B682C}"/>
                  </c:ext>
                </c:extLst>
              </c15:ser>
            </c15:filteredLineSeries>
            <c15:filteredLineSeries>
              <c15:ser>
                <c:idx val="49"/>
                <c:order val="47"/>
                <c:spPr>
                  <a:ln w="19050" cap="rnd" cmpd="sng" algn="ctr">
                    <a:solidFill>
                      <a:schemeClr val="accent3">
                        <a:tint val="9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8BA3-4E13-9569-DE388A9B682C}"/>
                  </c:ext>
                </c:extLst>
              </c15:ser>
            </c15:filteredLineSeries>
            <c15:filteredLineSeries>
              <c15:ser>
                <c:idx val="50"/>
                <c:order val="48"/>
                <c:spPr>
                  <a:ln w="19050" cap="rnd" cmpd="sng" algn="ctr">
                    <a:solidFill>
                      <a:schemeClr val="accent3">
                        <a:tint val="9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8BA3-4E13-9569-DE388A9B682C}"/>
                  </c:ext>
                </c:extLst>
              </c15:ser>
            </c15:filteredLineSeries>
            <c15:filteredLineSeries>
              <c15:ser>
                <c:idx val="51"/>
                <c:order val="49"/>
                <c:spPr>
                  <a:ln w="19050" cap="rnd" cmpd="sng" algn="ctr">
                    <a:solidFill>
                      <a:schemeClr val="accent3">
                        <a:tint val="9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8BA3-4E13-9569-DE388A9B682C}"/>
                  </c:ext>
                </c:extLst>
              </c15:ser>
            </c15:filteredLineSeries>
            <c15:filteredLineSeries>
              <c15:ser>
                <c:idx val="52"/>
                <c:order val="50"/>
                <c:spPr>
                  <a:ln w="19050" cap="rnd" cmpd="sng" algn="ctr">
                    <a:solidFill>
                      <a:schemeClr val="accent3">
                        <a:tint val="9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8BA3-4E13-9569-DE388A9B682C}"/>
                  </c:ext>
                </c:extLst>
              </c15:ser>
            </c15:filteredLineSeries>
            <c15:filteredLineSeries>
              <c15:ser>
                <c:idx val="53"/>
                <c:order val="51"/>
                <c:spPr>
                  <a:ln w="19050" cap="rnd" cmpd="sng" algn="ctr">
                    <a:solidFill>
                      <a:schemeClr val="accent3">
                        <a:tint val="9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8BA3-4E13-9569-DE388A9B682C}"/>
                  </c:ext>
                </c:extLst>
              </c15:ser>
            </c15:filteredLineSeries>
            <c15:filteredLineSeries>
              <c15:ser>
                <c:idx val="54"/>
                <c:order val="52"/>
                <c:spPr>
                  <a:ln w="19050" cap="rnd" cmpd="sng" algn="ctr">
                    <a:solidFill>
                      <a:schemeClr val="accent3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8BA3-4E13-9569-DE388A9B682C}"/>
                  </c:ext>
                </c:extLst>
              </c15:ser>
            </c15:filteredLineSeries>
            <c15:filteredLineSeries>
              <c15:ser>
                <c:idx val="55"/>
                <c:order val="53"/>
                <c:spPr>
                  <a:ln w="19050" cap="rnd" cmpd="sng" algn="ctr">
                    <a:solidFill>
                      <a:schemeClr val="accent3">
                        <a:shade val="9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8BA3-4E13-9569-DE388A9B682C}"/>
                  </c:ext>
                </c:extLst>
              </c15:ser>
            </c15:filteredLineSeries>
            <c15:filteredLineSeries>
              <c15:ser>
                <c:idx val="56"/>
                <c:order val="54"/>
                <c:spPr>
                  <a:ln w="19050" cap="rnd" cmpd="sng" algn="ctr">
                    <a:solidFill>
                      <a:schemeClr val="accent3">
                        <a:shade val="9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8BA3-4E13-9569-DE388A9B682C}"/>
                  </c:ext>
                </c:extLst>
              </c15:ser>
            </c15:filteredLineSeries>
            <c15:filteredLineSeries>
              <c15:ser>
                <c:idx val="57"/>
                <c:order val="55"/>
                <c:spPr>
                  <a:ln w="19050" cap="rnd" cmpd="sng" algn="ctr">
                    <a:solidFill>
                      <a:schemeClr val="accent3">
                        <a:shade val="9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8BA3-4E13-9569-DE388A9B682C}"/>
                  </c:ext>
                </c:extLst>
              </c15:ser>
            </c15:filteredLineSeries>
            <c15:filteredLineSeries>
              <c15:ser>
                <c:idx val="58"/>
                <c:order val="56"/>
                <c:spPr>
                  <a:ln w="19050" cap="rnd" cmpd="sng" algn="ctr">
                    <a:solidFill>
                      <a:schemeClr val="accent3">
                        <a:shade val="9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8BA3-4E13-9569-DE388A9B682C}"/>
                  </c:ext>
                </c:extLst>
              </c15:ser>
            </c15:filteredLineSeries>
            <c15:filteredLineSeries>
              <c15:ser>
                <c:idx val="59"/>
                <c:order val="57"/>
                <c:spPr>
                  <a:ln w="19050" cap="rnd" cmpd="sng" algn="ctr">
                    <a:solidFill>
                      <a:schemeClr val="accent3">
                        <a:shade val="9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8BA3-4E13-9569-DE388A9B682C}"/>
                  </c:ext>
                </c:extLst>
              </c15:ser>
            </c15:filteredLineSeries>
            <c15:filteredLineSeries>
              <c15:ser>
                <c:idx val="60"/>
                <c:order val="58"/>
                <c:spPr>
                  <a:ln w="19050" cap="rnd" cmpd="sng" algn="ctr">
                    <a:solidFill>
                      <a:schemeClr val="accent3">
                        <a:shade val="9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8BA3-4E13-9569-DE388A9B682C}"/>
                  </c:ext>
                </c:extLst>
              </c15:ser>
            </c15:filteredLineSeries>
            <c15:filteredLineSeries>
              <c15:ser>
                <c:idx val="61"/>
                <c:order val="59"/>
                <c:spPr>
                  <a:ln w="19050" cap="rnd" cmpd="sng" algn="ctr">
                    <a:solidFill>
                      <a:schemeClr val="accent3">
                        <a:shade val="9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8BA3-4E13-9569-DE388A9B682C}"/>
                  </c:ext>
                </c:extLst>
              </c15:ser>
            </c15:filteredLineSeries>
            <c15:filteredLineSeries>
              <c15:ser>
                <c:idx val="62"/>
                <c:order val="60"/>
                <c:spPr>
                  <a:ln w="19050" cap="rnd" cmpd="sng" algn="ctr">
                    <a:solidFill>
                      <a:schemeClr val="accent3">
                        <a:shade val="9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8BA3-4E13-9569-DE388A9B682C}"/>
                  </c:ext>
                </c:extLst>
              </c15:ser>
            </c15:filteredLineSeries>
            <c15:filteredLineSeries>
              <c15:ser>
                <c:idx val="63"/>
                <c:order val="61"/>
                <c:spPr>
                  <a:ln w="19050" cap="rnd" cmpd="sng" algn="ctr">
                    <a:solidFill>
                      <a:schemeClr val="accent3">
                        <a:shade val="8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8BA3-4E13-9569-DE388A9B682C}"/>
                  </c:ext>
                </c:extLst>
              </c15:ser>
            </c15:filteredLineSeries>
            <c15:filteredLineSeries>
              <c15:ser>
                <c:idx val="64"/>
                <c:order val="62"/>
                <c:spPr>
                  <a:ln w="19050" cap="rnd" cmpd="sng" algn="ctr">
                    <a:solidFill>
                      <a:schemeClr val="accent3">
                        <a:shade val="8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8BA3-4E13-9569-DE388A9B682C}"/>
                  </c:ext>
                </c:extLst>
              </c15:ser>
            </c15:filteredLineSeries>
            <c15:filteredLineSeries>
              <c15:ser>
                <c:idx val="65"/>
                <c:order val="63"/>
                <c:spPr>
                  <a:ln w="19050" cap="rnd" cmpd="sng" algn="ctr">
                    <a:solidFill>
                      <a:schemeClr val="accent3">
                        <a:shade val="8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8BA3-4E13-9569-DE388A9B682C}"/>
                  </c:ext>
                </c:extLst>
              </c15:ser>
            </c15:filteredLineSeries>
            <c15:filteredLineSeries>
              <c15:ser>
                <c:idx val="66"/>
                <c:order val="64"/>
                <c:spPr>
                  <a:ln w="19050" cap="rnd" cmpd="sng" algn="ctr">
                    <a:solidFill>
                      <a:schemeClr val="accent3">
                        <a:shade val="8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8BA3-4E13-9569-DE388A9B682C}"/>
                  </c:ext>
                </c:extLst>
              </c15:ser>
            </c15:filteredLineSeries>
            <c15:filteredLineSeries>
              <c15:ser>
                <c:idx val="67"/>
                <c:order val="65"/>
                <c:spPr>
                  <a:ln w="19050" cap="rnd" cmpd="sng" algn="ctr">
                    <a:solidFill>
                      <a:schemeClr val="accent3">
                        <a:shade val="8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8BA3-4E13-9569-DE388A9B682C}"/>
                  </c:ext>
                </c:extLst>
              </c15:ser>
            </c15:filteredLineSeries>
            <c15:filteredLineSeries>
              <c15:ser>
                <c:idx val="68"/>
                <c:order val="66"/>
                <c:spPr>
                  <a:ln w="19050" cap="rnd" cmpd="sng" algn="ctr">
                    <a:solidFill>
                      <a:schemeClr val="accent3">
                        <a:shade val="8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8BA3-4E13-9569-DE388A9B682C}"/>
                  </c:ext>
                </c:extLst>
              </c15:ser>
            </c15:filteredLineSeries>
            <c15:filteredLineSeries>
              <c15:ser>
                <c:idx val="69"/>
                <c:order val="67"/>
                <c:spPr>
                  <a:ln w="19050" cap="rnd" cmpd="sng" algn="ctr">
                    <a:solidFill>
                      <a:schemeClr val="accent3">
                        <a:shade val="8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8BA3-4E13-9569-DE388A9B682C}"/>
                  </c:ext>
                </c:extLst>
              </c15:ser>
            </c15:filteredLineSeries>
            <c15:filteredLineSeries>
              <c15:ser>
                <c:idx val="70"/>
                <c:order val="68"/>
                <c:spPr>
                  <a:ln w="19050" cap="rnd" cmpd="sng" algn="ctr">
                    <a:solidFill>
                      <a:schemeClr val="accent3">
                        <a:shade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8BA3-4E13-9569-DE388A9B682C}"/>
                  </c:ext>
                </c:extLst>
              </c15:ser>
            </c15:filteredLineSeries>
            <c15:filteredLineSeries>
              <c15:ser>
                <c:idx val="71"/>
                <c:order val="69"/>
                <c:spPr>
                  <a:ln w="19050" cap="rnd" cmpd="sng" algn="ctr">
                    <a:solidFill>
                      <a:schemeClr val="accent3">
                        <a:shade val="7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8BA3-4E13-9569-DE388A9B682C}"/>
                  </c:ext>
                </c:extLst>
              </c15:ser>
            </c15:filteredLineSeries>
            <c15:filteredLineSeries>
              <c15:ser>
                <c:idx val="72"/>
                <c:order val="70"/>
                <c:spPr>
                  <a:ln w="19050" cap="rnd" cmpd="sng" algn="ctr">
                    <a:solidFill>
                      <a:schemeClr val="accent3">
                        <a:shade val="7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8BA3-4E13-9569-DE388A9B682C}"/>
                  </c:ext>
                </c:extLst>
              </c15:ser>
            </c15:filteredLineSeries>
            <c15:filteredLineSeries>
              <c15:ser>
                <c:idx val="73"/>
                <c:order val="71"/>
                <c:spPr>
                  <a:ln w="19050" cap="rnd" cmpd="sng" algn="ctr">
                    <a:solidFill>
                      <a:schemeClr val="accent3">
                        <a:shade val="7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8BA3-4E13-9569-DE388A9B682C}"/>
                  </c:ext>
                </c:extLst>
              </c15:ser>
            </c15:filteredLineSeries>
            <c15:filteredLineSeries>
              <c15:ser>
                <c:idx val="74"/>
                <c:order val="72"/>
                <c:spPr>
                  <a:ln w="19050" cap="rnd" cmpd="sng" algn="ctr">
                    <a:solidFill>
                      <a:schemeClr val="accent3">
                        <a:shade val="7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8BA3-4E13-9569-DE388A9B682C}"/>
                  </c:ext>
                </c:extLst>
              </c15:ser>
            </c15:filteredLineSeries>
            <c15:filteredLineSeries>
              <c15:ser>
                <c:idx val="75"/>
                <c:order val="73"/>
                <c:spPr>
                  <a:ln w="19050" cap="rnd" cmpd="sng" algn="ctr">
                    <a:solidFill>
                      <a:schemeClr val="accent3">
                        <a:shade val="7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8BA3-4E13-9569-DE388A9B682C}"/>
                  </c:ext>
                </c:extLst>
              </c15:ser>
            </c15:filteredLineSeries>
            <c15:filteredLineSeries>
              <c15:ser>
                <c:idx val="76"/>
                <c:order val="74"/>
                <c:spPr>
                  <a:ln w="19050" cap="rnd" cmpd="sng" algn="ctr">
                    <a:solidFill>
                      <a:schemeClr val="accent3">
                        <a:shade val="7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8BA3-4E13-9569-DE388A9B682C}"/>
                  </c:ext>
                </c:extLst>
              </c15:ser>
            </c15:filteredLineSeries>
            <c15:filteredLineSeries>
              <c15:ser>
                <c:idx val="77"/>
                <c:order val="75"/>
                <c:spPr>
                  <a:ln w="19050" cap="rnd" cmpd="sng" algn="ctr">
                    <a:solidFill>
                      <a:schemeClr val="accent3">
                        <a:shade val="7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8BA3-4E13-9569-DE388A9B682C}"/>
                  </c:ext>
                </c:extLst>
              </c15:ser>
            </c15:filteredLineSeries>
            <c15:filteredLineSeries>
              <c15:ser>
                <c:idx val="78"/>
                <c:order val="76"/>
                <c:spPr>
                  <a:ln w="19050" cap="rnd" cmpd="sng" algn="ctr">
                    <a:solidFill>
                      <a:schemeClr val="accent3">
                        <a:shade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8BA3-4E13-9569-DE388A9B682C}"/>
                  </c:ext>
                </c:extLst>
              </c15:ser>
            </c15:filteredLineSeries>
            <c15:filteredLineSeries>
              <c15:ser>
                <c:idx val="79"/>
                <c:order val="77"/>
                <c:spPr>
                  <a:ln w="19050" cap="rnd" cmpd="sng" algn="ctr">
                    <a:solidFill>
                      <a:schemeClr val="accent3">
                        <a:shade val="6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8BA3-4E13-9569-DE388A9B682C}"/>
                  </c:ext>
                </c:extLst>
              </c15:ser>
            </c15:filteredLineSeries>
            <c15:filteredLineSeries>
              <c15:ser>
                <c:idx val="80"/>
                <c:order val="78"/>
                <c:spPr>
                  <a:ln w="19050" cap="rnd" cmpd="sng" algn="ctr">
                    <a:solidFill>
                      <a:schemeClr val="accent3">
                        <a:shade val="6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8BA3-4E13-9569-DE388A9B682C}"/>
                  </c:ext>
                </c:extLst>
              </c15:ser>
            </c15:filteredLineSeries>
            <c15:filteredLineSeries>
              <c15:ser>
                <c:idx val="81"/>
                <c:order val="79"/>
                <c:spPr>
                  <a:ln w="19050" cap="rnd" cmpd="sng" algn="ctr">
                    <a:solidFill>
                      <a:schemeClr val="accent3">
                        <a:shade val="6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8BA3-4E13-9569-DE388A9B682C}"/>
                  </c:ext>
                </c:extLst>
              </c15:ser>
            </c15:filteredLineSeries>
            <c15:filteredLineSeries>
              <c15:ser>
                <c:idx val="82"/>
                <c:order val="80"/>
                <c:spPr>
                  <a:ln w="19050" cap="rnd" cmpd="sng" algn="ctr">
                    <a:solidFill>
                      <a:schemeClr val="accent3">
                        <a:shade val="6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8BA3-4E13-9569-DE388A9B682C}"/>
                  </c:ext>
                </c:extLst>
              </c15:ser>
            </c15:filteredLineSeries>
            <c15:filteredLineSeries>
              <c15:ser>
                <c:idx val="83"/>
                <c:order val="81"/>
                <c:spPr>
                  <a:ln w="19050" cap="rnd" cmpd="sng" algn="ctr">
                    <a:solidFill>
                      <a:schemeClr val="accent3">
                        <a:shade val="6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8BA3-4E13-9569-DE388A9B682C}"/>
                  </c:ext>
                </c:extLst>
              </c15:ser>
            </c15:filteredLineSeries>
            <c15:filteredLineSeries>
              <c15:ser>
                <c:idx val="84"/>
                <c:order val="82"/>
                <c:spPr>
                  <a:ln w="19050" cap="rnd" cmpd="sng" algn="ctr">
                    <a:solidFill>
                      <a:schemeClr val="accent3">
                        <a:shade val="6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8BA3-4E13-9569-DE388A9B682C}"/>
                  </c:ext>
                </c:extLst>
              </c15:ser>
            </c15:filteredLineSeries>
            <c15:filteredLineSeries>
              <c15:ser>
                <c:idx val="85"/>
                <c:order val="83"/>
                <c:spPr>
                  <a:ln w="19050" cap="rnd" cmpd="sng" algn="ctr">
                    <a:solidFill>
                      <a:schemeClr val="accent3">
                        <a:shade val="6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8BA3-4E13-9569-DE388A9B682C}"/>
                  </c:ext>
                </c:extLst>
              </c15:ser>
            </c15:filteredLineSeries>
            <c15:filteredLineSeries>
              <c15:ser>
                <c:idx val="86"/>
                <c:order val="84"/>
                <c:spPr>
                  <a:ln w="19050" cap="rnd" cmpd="sng" algn="ctr">
                    <a:solidFill>
                      <a:schemeClr val="accent3">
                        <a:shade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8BA3-4E13-9569-DE388A9B682C}"/>
                  </c:ext>
                </c:extLst>
              </c15:ser>
            </c15:filteredLineSeries>
            <c15:filteredLineSeries>
              <c15:ser>
                <c:idx val="87"/>
                <c:order val="85"/>
                <c:spPr>
                  <a:ln w="19050" cap="rnd" cmpd="sng" algn="ctr">
                    <a:solidFill>
                      <a:schemeClr val="accent3">
                        <a:shade val="5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8BA3-4E13-9569-DE388A9B682C}"/>
                  </c:ext>
                </c:extLst>
              </c15:ser>
            </c15:filteredLineSeries>
            <c15:filteredLineSeries>
              <c15:ser>
                <c:idx val="88"/>
                <c:order val="86"/>
                <c:spPr>
                  <a:ln w="19050" cap="rnd" cmpd="sng" algn="ctr">
                    <a:solidFill>
                      <a:schemeClr val="accent3">
                        <a:shade val="5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8BA3-4E13-9569-DE388A9B682C}"/>
                  </c:ext>
                </c:extLst>
              </c15:ser>
            </c15:filteredLineSeries>
            <c15:filteredLineSeries>
              <c15:ser>
                <c:idx val="89"/>
                <c:order val="87"/>
                <c:spPr>
                  <a:ln w="19050" cap="rnd" cmpd="sng" algn="ctr">
                    <a:solidFill>
                      <a:schemeClr val="accent3">
                        <a:shade val="5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8BA3-4E13-9569-DE388A9B682C}"/>
                  </c:ext>
                </c:extLst>
              </c15:ser>
            </c15:filteredLineSeries>
            <c15:filteredLineSeries>
              <c15:ser>
                <c:idx val="90"/>
                <c:order val="88"/>
                <c:spPr>
                  <a:ln w="19050" cap="rnd" cmpd="sng" algn="ctr">
                    <a:solidFill>
                      <a:schemeClr val="accent3">
                        <a:shade val="5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8BA3-4E13-9569-DE388A9B682C}"/>
                  </c:ext>
                </c:extLst>
              </c15:ser>
            </c15:filteredLineSeries>
            <c15:filteredLineSeries>
              <c15:ser>
                <c:idx val="91"/>
                <c:order val="89"/>
                <c:spPr>
                  <a:ln w="19050" cap="rnd" cmpd="sng" algn="ctr">
                    <a:solidFill>
                      <a:schemeClr val="accent3">
                        <a:shade val="5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8BA3-4E13-9569-DE388A9B682C}"/>
                  </c:ext>
                </c:extLst>
              </c15:ser>
            </c15:filteredLineSeries>
            <c15:filteredLineSeries>
              <c15:ser>
                <c:idx val="92"/>
                <c:order val="90"/>
                <c:spPr>
                  <a:ln w="19050" cap="rnd" cmpd="sng" algn="ctr">
                    <a:solidFill>
                      <a:schemeClr val="accent3">
                        <a:shade val="5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8BA3-4E13-9569-DE388A9B682C}"/>
                  </c:ext>
                </c:extLst>
              </c15:ser>
            </c15:filteredLineSeries>
            <c15:filteredLineSeries>
              <c15:ser>
                <c:idx val="93"/>
                <c:order val="91"/>
                <c:spPr>
                  <a:ln w="19050" cap="rnd" cmpd="sng" algn="ctr">
                    <a:solidFill>
                      <a:schemeClr val="accent3">
                        <a:shade val="5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8BA3-4E13-9569-DE388A9B682C}"/>
                  </c:ext>
                </c:extLst>
              </c15:ser>
            </c15:filteredLineSeries>
            <c15:filteredLineSeries>
              <c15:ser>
                <c:idx val="94"/>
                <c:order val="92"/>
                <c:spPr>
                  <a:ln w="19050" cap="rnd" cmpd="sng" algn="ctr">
                    <a:solidFill>
                      <a:schemeClr val="accent3">
                        <a:shade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8BA3-4E13-9569-DE388A9B682C}"/>
                  </c:ext>
                </c:extLst>
              </c15:ser>
            </c15:filteredLineSeries>
            <c15:filteredLineSeries>
              <c15:ser>
                <c:idx val="95"/>
                <c:order val="93"/>
                <c:spPr>
                  <a:ln w="19050" cap="rnd" cmpd="sng" algn="ctr">
                    <a:solidFill>
                      <a:schemeClr val="accent3">
                        <a:shade val="4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8BA3-4E13-9569-DE388A9B682C}"/>
                  </c:ext>
                </c:extLst>
              </c15:ser>
            </c15:filteredLineSeries>
            <c15:filteredLineSeries>
              <c15:ser>
                <c:idx val="96"/>
                <c:order val="94"/>
                <c:spPr>
                  <a:ln w="19050" cap="rnd" cmpd="sng" algn="ctr">
                    <a:solidFill>
                      <a:schemeClr val="accent3">
                        <a:shade val="4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8BA3-4E13-9569-DE388A9B682C}"/>
                  </c:ext>
                </c:extLst>
              </c15:ser>
            </c15:filteredLineSeries>
            <c15:filteredLineSeries>
              <c15:ser>
                <c:idx val="97"/>
                <c:order val="95"/>
                <c:spPr>
                  <a:ln w="19050" cap="rnd" cmpd="sng" algn="ctr">
                    <a:solidFill>
                      <a:schemeClr val="accent3">
                        <a:shade val="4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8BA3-4E13-9569-DE388A9B682C}"/>
                  </c:ext>
                </c:extLst>
              </c15:ser>
            </c15:filteredLineSeries>
            <c15:filteredLineSeries>
              <c15:ser>
                <c:idx val="98"/>
                <c:order val="96"/>
                <c:spPr>
                  <a:ln w="19050" cap="rnd" cmpd="sng" algn="ctr">
                    <a:solidFill>
                      <a:schemeClr val="accent3">
                        <a:shade val="4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3-8BA3-4E13-9569-DE388A9B682C}"/>
                  </c:ext>
                </c:extLst>
              </c15:ser>
            </c15:filteredLineSeries>
            <c15:filteredLineSeries>
              <c15:ser>
                <c:idx val="99"/>
                <c:order val="97"/>
                <c:spPr>
                  <a:ln w="19050" cap="rnd" cmpd="sng" algn="ctr">
                    <a:solidFill>
                      <a:schemeClr val="accent3">
                        <a:shade val="4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4-8BA3-4E13-9569-DE388A9B682C}"/>
                  </c:ext>
                </c:extLst>
              </c15:ser>
            </c15:filteredLineSeries>
            <c15:filteredLineSeries>
              <c15:ser>
                <c:idx val="100"/>
                <c:order val="98"/>
                <c:spPr>
                  <a:ln w="19050" cap="rnd" cmpd="sng" algn="ctr">
                    <a:solidFill>
                      <a:schemeClr val="accent3">
                        <a:shade val="4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5-8BA3-4E13-9569-DE388A9B682C}"/>
                  </c:ext>
                </c:extLst>
              </c15:ser>
            </c15:filteredLineSeries>
            <c15:filteredLineSeries>
              <c15:ser>
                <c:idx val="101"/>
                <c:order val="99"/>
                <c:spPr>
                  <a:ln w="19050" cap="rnd" cmpd="sng" algn="ctr">
                    <a:solidFill>
                      <a:schemeClr val="accent3">
                        <a:shade val="4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6-8BA3-4E13-9569-DE388A9B682C}"/>
                  </c:ext>
                </c:extLst>
              </c15:ser>
            </c15:filteredLineSeries>
            <c15:filteredLineSeries>
              <c15:ser>
                <c:idx val="102"/>
                <c:order val="100"/>
                <c:spPr>
                  <a:ln w="19050" cap="rnd" cmpd="sng" algn="ctr">
                    <a:solidFill>
                      <a:schemeClr val="accent3">
                        <a:shade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7-8BA3-4E13-9569-DE388A9B682C}"/>
                  </c:ext>
                </c:extLst>
              </c15:ser>
            </c15:filteredLineSeries>
            <c15:filteredLineSeries>
              <c15:ser>
                <c:idx val="103"/>
                <c:order val="101"/>
                <c:spPr>
                  <a:ln w="19050" cap="rnd" cmpd="sng" algn="ctr">
                    <a:solidFill>
                      <a:schemeClr val="accent3">
                        <a:shade val="3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8BA3-4E13-9569-DE388A9B682C}"/>
                  </c:ext>
                </c:extLst>
              </c15:ser>
            </c15:filteredLineSeries>
            <c15:filteredLineSeries>
              <c15:ser>
                <c:idx val="104"/>
                <c:order val="102"/>
                <c:spPr>
                  <a:ln w="19050" cap="rnd" cmpd="sng" algn="ctr">
                    <a:solidFill>
                      <a:schemeClr val="accent3">
                        <a:shade val="3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8BA3-4E13-9569-DE388A9B682C}"/>
                  </c:ext>
                </c:extLst>
              </c15:ser>
            </c15:filteredLineSeries>
            <c15:filteredLineSeries>
              <c15:ser>
                <c:idx val="105"/>
                <c:order val="103"/>
                <c:spPr>
                  <a:ln w="19050" cap="rnd" cmpd="sng" algn="ctr">
                    <a:solidFill>
                      <a:schemeClr val="accent3">
                        <a:shade val="3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A-8BA3-4E13-9569-DE388A9B682C}"/>
                  </c:ext>
                </c:extLst>
              </c15:ser>
            </c15:filteredLineSeries>
            <c15:filteredLineSeries>
              <c15:ser>
                <c:idx val="106"/>
                <c:order val="104"/>
                <c:spPr>
                  <a:ln w="19050" cap="rnd" cmpd="sng" algn="ctr">
                    <a:solidFill>
                      <a:schemeClr val="accent3">
                        <a:shade val="3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8BA3-4E13-9569-DE388A9B682C}"/>
                  </c:ext>
                </c:extLst>
              </c15:ser>
            </c15:filteredLineSeries>
            <c15:filteredLineSeries>
              <c15:ser>
                <c:idx val="107"/>
                <c:order val="105"/>
                <c:spPr>
                  <a:ln w="19050" cap="rnd" cmpd="sng" algn="ctr">
                    <a:solidFill>
                      <a:schemeClr val="accent3">
                        <a:shade val="3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8BA3-4E13-9569-DE388A9B682C}"/>
                  </c:ext>
                </c:extLst>
              </c15:ser>
            </c15:filteredLineSeries>
            <c15:filteredLineSeries>
              <c15:ser>
                <c:idx val="108"/>
                <c:order val="106"/>
                <c:spPr>
                  <a:ln w="19050" cap="rnd" cmpd="sng" algn="ctr">
                    <a:solidFill>
                      <a:schemeClr val="accent3">
                        <a:shade val="3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8BA3-4E13-9569-DE388A9B682C}"/>
                  </c:ext>
                </c:extLst>
              </c15:ser>
            </c15:filteredLineSeries>
          </c:ext>
        </c:extLst>
      </c:lineChart>
      <c:catAx>
        <c:axId val="203745058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61993928"/>
        <c:crosses val="autoZero"/>
        <c:auto val="1"/>
        <c:lblAlgn val="ctr"/>
        <c:lblOffset val="100"/>
        <c:noMultiLvlLbl val="1"/>
      </c:catAx>
      <c:valAx>
        <c:axId val="1661993928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37450581"/>
        <c:crosses val="autoZero"/>
        <c:crossBetween val="between"/>
      </c:valAx>
      <c:spPr>
        <a:solidFill>
          <a:schemeClr val="lt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lt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2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 i="0">
                <a:solidFill>
                  <a:schemeClr val="dk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Burn Up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200" b="1" i="0" u="none" strike="noStrike" kern="12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224643084387175E-2"/>
          <c:y val="0.11849207014016865"/>
          <c:w val="0.92529328720273618"/>
          <c:h val="0.74429203663371857"/>
        </c:manualLayout>
      </c:layout>
      <c:lineChart>
        <c:grouping val="standard"/>
        <c:varyColors val="1"/>
        <c:ser>
          <c:idx val="109"/>
          <c:order val="107"/>
          <c:spPr>
            <a:ln w="19050" cap="rnd" cmpd="sng" algn="ctr">
              <a:solidFill>
                <a:schemeClr val="accent3">
                  <a:shade val="31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'Sprint 4 Backlog'!$K$7:$AJ$7</c:f>
              <c:strCache>
                <c:ptCount val="26"/>
                <c:pt idx="0">
                  <c:v>Day 1</c:v>
                </c:pt>
                <c:pt idx="1">
                  <c:v>Day 2</c:v>
                </c:pt>
                <c:pt idx="2">
                  <c:v>Day 3</c:v>
                </c:pt>
                <c:pt idx="3">
                  <c:v>Day 4</c:v>
                </c:pt>
                <c:pt idx="4">
                  <c:v>Day 5</c:v>
                </c:pt>
                <c:pt idx="5">
                  <c:v>Day 6</c:v>
                </c:pt>
                <c:pt idx="6">
                  <c:v>Day 7</c:v>
                </c:pt>
                <c:pt idx="7">
                  <c:v>Day 8</c:v>
                </c:pt>
                <c:pt idx="8">
                  <c:v>Day 9</c:v>
                </c:pt>
                <c:pt idx="9">
                  <c:v>Day 10</c:v>
                </c:pt>
                <c:pt idx="10">
                  <c:v>Day 11</c:v>
                </c:pt>
                <c:pt idx="11">
                  <c:v>Day 12</c:v>
                </c:pt>
                <c:pt idx="12">
                  <c:v>Day 13</c:v>
                </c:pt>
                <c:pt idx="13">
                  <c:v>Day 14</c:v>
                </c:pt>
                <c:pt idx="14">
                  <c:v>Day 15</c:v>
                </c:pt>
                <c:pt idx="15">
                  <c:v>Day 16</c:v>
                </c:pt>
                <c:pt idx="16">
                  <c:v>Day 17</c:v>
                </c:pt>
                <c:pt idx="17">
                  <c:v>Day 18</c:v>
                </c:pt>
                <c:pt idx="18">
                  <c:v>Day 19</c:v>
                </c:pt>
                <c:pt idx="19">
                  <c:v>Day 20</c:v>
                </c:pt>
                <c:pt idx="20">
                  <c:v>Day 21</c:v>
                </c:pt>
                <c:pt idx="21">
                  <c:v>Day 22</c:v>
                </c:pt>
                <c:pt idx="22">
                  <c:v>Day 23</c:v>
                </c:pt>
                <c:pt idx="23">
                  <c:v>Day 24</c:v>
                </c:pt>
                <c:pt idx="24">
                  <c:v>Day 25</c:v>
                </c:pt>
                <c:pt idx="25">
                  <c:v>Day 26</c:v>
                </c:pt>
              </c:strCache>
            </c:strRef>
          </c:cat>
          <c:val>
            <c:numRef>
              <c:f>'Sprint 4 Backlog'!$K$52:$AJ$52</c:f>
              <c:numCache>
                <c:formatCode>General</c:formatCode>
                <c:ptCount val="26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17</c:v>
                </c:pt>
                <c:pt idx="8">
                  <c:v>17</c:v>
                </c:pt>
                <c:pt idx="9">
                  <c:v>35</c:v>
                </c:pt>
                <c:pt idx="10">
                  <c:v>40</c:v>
                </c:pt>
                <c:pt idx="11">
                  <c:v>60</c:v>
                </c:pt>
                <c:pt idx="12">
                  <c:v>65</c:v>
                </c:pt>
                <c:pt idx="13">
                  <c:v>69</c:v>
                </c:pt>
                <c:pt idx="14">
                  <c:v>75</c:v>
                </c:pt>
                <c:pt idx="15">
                  <c:v>75</c:v>
                </c:pt>
                <c:pt idx="16">
                  <c:v>78</c:v>
                </c:pt>
                <c:pt idx="17">
                  <c:v>83</c:v>
                </c:pt>
                <c:pt idx="18">
                  <c:v>83</c:v>
                </c:pt>
                <c:pt idx="19">
                  <c:v>101</c:v>
                </c:pt>
                <c:pt idx="20">
                  <c:v>112</c:v>
                </c:pt>
                <c:pt idx="21">
                  <c:v>112</c:v>
                </c:pt>
                <c:pt idx="22">
                  <c:v>142</c:v>
                </c:pt>
                <c:pt idx="23">
                  <c:v>163</c:v>
                </c:pt>
                <c:pt idx="24">
                  <c:v>169</c:v>
                </c:pt>
                <c:pt idx="25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F3F8-4FB5-89D1-D20AAF532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084515"/>
        <c:axId val="89771554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19050" cap="rnd" cmpd="sng" algn="ctr">
                    <a:solidFill>
                      <a:schemeClr val="accent3">
                        <a:tint val="3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 lvl="0">
                        <a:defRPr sz="900" b="0" i="0" u="none" strike="noStrike" kern="1200" baseline="0">
                          <a:solidFill>
                            <a:srgbClr val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'Sprint 4 Backlog'!$K$8:$AJ$8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3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3F8-4FB5-89D1-D20AAF532C84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19050" cap="rnd" cmpd="sng" algn="ctr">
                    <a:solidFill>
                      <a:schemeClr val="accent3">
                        <a:tint val="3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Backlog'!$K$9:$AJ$9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0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3F8-4FB5-89D1-D20AAF532C84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19050" cap="rnd" cmpd="sng" algn="ctr">
                    <a:solidFill>
                      <a:schemeClr val="accent3">
                        <a:tint val="3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Backlog'!$K$10:$AJ$10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1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3F8-4FB5-89D1-D20AAF532C84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19050" cap="rnd" cmpd="sng" algn="ctr">
                    <a:solidFill>
                      <a:schemeClr val="accent3">
                        <a:tint val="3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Backlog'!$K$11:$AJ$11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3F8-4FB5-89D1-D20AAF532C84}"/>
                  </c:ext>
                </c:extLst>
              </c15:ser>
            </c15:filteredLineSeries>
            <c15:filteredLineSeries>
              <c15:ser>
                <c:idx val="5"/>
                <c:order val="4"/>
                <c:spPr>
                  <a:ln w="19050" cap="rnd" cmpd="sng" algn="ctr">
                    <a:solidFill>
                      <a:schemeClr val="accent3">
                        <a:tint val="3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Backlog'!$K$13:$AJ$13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3F8-4FB5-89D1-D20AAF532C84}"/>
                  </c:ext>
                </c:extLst>
              </c15:ser>
            </c15:filteredLineSeries>
            <c15:filteredLineSeries>
              <c15:ser>
                <c:idx val="6"/>
                <c:order val="5"/>
                <c:spPr>
                  <a:ln w="19050" cap="rnd" cmpd="sng" algn="ctr">
                    <a:solidFill>
                      <a:schemeClr val="accent3">
                        <a:tint val="3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Backlog'!$K$14:$AJ$14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4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3F8-4FB5-89D1-D20AAF532C84}"/>
                  </c:ext>
                </c:extLst>
              </c15:ser>
            </c15:filteredLineSeries>
            <c15:filteredLineSeries>
              <c15:ser>
                <c:idx val="7"/>
                <c:order val="6"/>
                <c:spPr>
                  <a:ln w="19050" cap="rnd" cmpd="sng" algn="ctr">
                    <a:solidFill>
                      <a:schemeClr val="accent3">
                        <a:tint val="4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Backlog'!$K$15:$AJ$15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7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3F8-4FB5-89D1-D20AAF532C84}"/>
                  </c:ext>
                </c:extLst>
              </c15:ser>
            </c15:filteredLineSeries>
            <c15:filteredLineSeries>
              <c15:ser>
                <c:idx val="8"/>
                <c:order val="7"/>
                <c:spPr>
                  <a:ln w="19050" cap="rnd" cmpd="sng" algn="ctr">
                    <a:solidFill>
                      <a:schemeClr val="accent3">
                        <a:tint val="4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Backlog'!$K$16:$AJ$16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1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3F8-4FB5-89D1-D20AAF532C84}"/>
                  </c:ext>
                </c:extLst>
              </c15:ser>
            </c15:filteredLineSeries>
            <c15:filteredLineSeries>
              <c15:ser>
                <c:idx val="9"/>
                <c:order val="8"/>
                <c:spPr>
                  <a:ln w="19050" cap="rnd" cmpd="sng" algn="ctr">
                    <a:solidFill>
                      <a:schemeClr val="accent3">
                        <a:tint val="4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Backlog'!$K$17:$AJ$17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1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3F8-4FB5-89D1-D20AAF532C84}"/>
                  </c:ext>
                </c:extLst>
              </c15:ser>
            </c15:filteredLineSeries>
            <c15:filteredLineSeries>
              <c15:ser>
                <c:idx val="10"/>
                <c:order val="9"/>
                <c:spPr>
                  <a:ln w="19050" cap="rnd" cmpd="sng" algn="ctr">
                    <a:solidFill>
                      <a:schemeClr val="accent3">
                        <a:tint val="4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Backlog'!$K$18:$AJ$18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3F8-4FB5-89D1-D20AAF532C84}"/>
                  </c:ext>
                </c:extLst>
              </c15:ser>
            </c15:filteredLineSeries>
            <c15:filteredLineSeries>
              <c15:ser>
                <c:idx val="11"/>
                <c:order val="10"/>
                <c:spPr>
                  <a:ln w="19050" cap="rnd" cmpd="sng" algn="ctr">
                    <a:solidFill>
                      <a:schemeClr val="accent3">
                        <a:tint val="4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Backlog'!$K$19:$AJ$19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F3F8-4FB5-89D1-D20AAF532C84}"/>
                  </c:ext>
                </c:extLst>
              </c15:ser>
            </c15:filteredLineSeries>
            <c15:filteredLineSeries>
              <c15:ser>
                <c:idx val="12"/>
                <c:order val="11"/>
                <c:spPr>
                  <a:ln w="19050" cap="rnd" cmpd="sng" algn="ctr">
                    <a:solidFill>
                      <a:schemeClr val="accent3">
                        <a:tint val="4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Backlog'!$K$20:$AJ$20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F3F8-4FB5-89D1-D20AAF532C84}"/>
                  </c:ext>
                </c:extLst>
              </c15:ser>
            </c15:filteredLineSeries>
            <c15:filteredLineSeries>
              <c15:ser>
                <c:idx val="13"/>
                <c:order val="12"/>
                <c:spPr>
                  <a:ln w="19050" cap="rnd" cmpd="sng" algn="ctr">
                    <a:solidFill>
                      <a:schemeClr val="accent3">
                        <a:tint val="4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Backlog'!$K$21:$AJ$21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9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3F8-4FB5-89D1-D20AAF532C84}"/>
                  </c:ext>
                </c:extLst>
              </c15:ser>
            </c15:filteredLineSeries>
            <c15:filteredLineSeries>
              <c15:ser>
                <c:idx val="14"/>
                <c:order val="13"/>
                <c:spPr>
                  <a:ln w="19050" cap="rnd" cmpd="sng" algn="ctr">
                    <a:solidFill>
                      <a:schemeClr val="accent3">
                        <a:tint val="4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Backlog'!$K$22:$AJ$22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9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3F8-4FB5-89D1-D20AAF532C84}"/>
                  </c:ext>
                </c:extLst>
              </c15:ser>
            </c15:filteredLineSeries>
            <c15:filteredLineSeries>
              <c15:ser>
                <c:idx val="15"/>
                <c:order val="14"/>
                <c:spPr>
                  <a:ln w="19050" cap="rnd" cmpd="sng" algn="ctr">
                    <a:solidFill>
                      <a:schemeClr val="accent3">
                        <a:tint val="5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Backlog'!$K$23:$AJ$23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2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3F8-4FB5-89D1-D20AAF532C84}"/>
                  </c:ext>
                </c:extLst>
              </c15:ser>
            </c15:filteredLineSeries>
            <c15:filteredLineSeries>
              <c15:ser>
                <c:idx val="16"/>
                <c:order val="15"/>
                <c:spPr>
                  <a:ln w="19050" cap="rnd" cmpd="sng" algn="ctr">
                    <a:solidFill>
                      <a:schemeClr val="accent3">
                        <a:tint val="5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Backlog'!$K$24:$AJ$24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3F8-4FB5-89D1-D20AAF532C84}"/>
                  </c:ext>
                </c:extLst>
              </c15:ser>
            </c15:filteredLineSeries>
            <c15:filteredLineSeries>
              <c15:ser>
                <c:idx val="17"/>
                <c:order val="16"/>
                <c:spPr>
                  <a:ln w="19050" cap="rnd" cmpd="sng" algn="ctr">
                    <a:solidFill>
                      <a:schemeClr val="accent3">
                        <a:tint val="5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Backlog'!$K$25:$AJ$25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7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3F8-4FB5-89D1-D20AAF532C84}"/>
                  </c:ext>
                </c:extLst>
              </c15:ser>
            </c15:filteredLineSeries>
            <c15:filteredLineSeries>
              <c15:ser>
                <c:idx val="18"/>
                <c:order val="17"/>
                <c:spPr>
                  <a:ln w="19050" cap="rnd" cmpd="sng" algn="ctr">
                    <a:solidFill>
                      <a:schemeClr val="accent3">
                        <a:tint val="5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Backlog'!$K$26:$AJ$26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F3F8-4FB5-89D1-D20AAF532C84}"/>
                  </c:ext>
                </c:extLst>
              </c15:ser>
            </c15:filteredLineSeries>
            <c15:filteredLineSeries>
              <c15:ser>
                <c:idx val="19"/>
                <c:order val="18"/>
                <c:spPr>
                  <a:ln w="19050" cap="rnd" cmpd="sng" algn="ctr">
                    <a:solidFill>
                      <a:schemeClr val="accent3">
                        <a:tint val="5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Backlog'!$K$27:$AJ$27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F3F8-4FB5-89D1-D20AAF532C84}"/>
                  </c:ext>
                </c:extLst>
              </c15:ser>
            </c15:filteredLineSeries>
            <c15:filteredLineSeries>
              <c15:ser>
                <c:idx val="20"/>
                <c:order val="19"/>
                <c:spPr>
                  <a:ln w="19050" cap="rnd" cmpd="sng" algn="ctr">
                    <a:solidFill>
                      <a:schemeClr val="accent3">
                        <a:tint val="5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Backlog'!$K$28:$AJ$28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3F8-4FB5-89D1-D20AAF532C84}"/>
                  </c:ext>
                </c:extLst>
              </c15:ser>
            </c15:filteredLineSeries>
            <c15:filteredLineSeries>
              <c15:ser>
                <c:idx val="21"/>
                <c:order val="20"/>
                <c:spPr>
                  <a:ln w="19050" cap="rnd" cmpd="sng" algn="ctr">
                    <a:solidFill>
                      <a:schemeClr val="accent3">
                        <a:tint val="5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Backlog'!$K$29:$AJ$29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F3F8-4FB5-89D1-D20AAF532C84}"/>
                  </c:ext>
                </c:extLst>
              </c15:ser>
            </c15:filteredLineSeries>
            <c15:filteredLineSeries>
              <c15:ser>
                <c:idx val="22"/>
                <c:order val="21"/>
                <c:spPr>
                  <a:ln w="19050" cap="rnd" cmpd="sng" algn="ctr">
                    <a:solidFill>
                      <a:schemeClr val="accent3">
                        <a:tint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Backlog'!$K$30:$AJ$30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F3F8-4FB5-89D1-D20AAF532C84}"/>
                  </c:ext>
                </c:extLst>
              </c15:ser>
            </c15:filteredLineSeries>
            <c15:filteredLineSeries>
              <c15:ser>
                <c:idx val="23"/>
                <c:order val="22"/>
                <c:spPr>
                  <a:ln w="19050" cap="rnd" cmpd="sng" algn="ctr">
                    <a:solidFill>
                      <a:schemeClr val="accent3">
                        <a:tint val="6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Backlog'!$K$31:$AJ$31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F3F8-4FB5-89D1-D20AAF532C84}"/>
                  </c:ext>
                </c:extLst>
              </c15:ser>
            </c15:filteredLineSeries>
            <c15:filteredLineSeries>
              <c15:ser>
                <c:idx val="24"/>
                <c:order val="23"/>
                <c:spPr>
                  <a:ln w="19050" cap="rnd" cmpd="sng" algn="ctr">
                    <a:solidFill>
                      <a:schemeClr val="accent3">
                        <a:tint val="6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Backlog'!$K$32:$AJ$32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F3F8-4FB5-89D1-D20AAF532C84}"/>
                  </c:ext>
                </c:extLst>
              </c15:ser>
            </c15:filteredLineSeries>
            <c15:filteredLineSeries>
              <c15:ser>
                <c:idx val="25"/>
                <c:order val="24"/>
                <c:spPr>
                  <a:ln w="19050" cap="rnd" cmpd="sng" algn="ctr">
                    <a:solidFill>
                      <a:schemeClr val="accent3">
                        <a:tint val="6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Backlog'!$K$33:$AJ$33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F3F8-4FB5-89D1-D20AAF532C84}"/>
                  </c:ext>
                </c:extLst>
              </c15:ser>
            </c15:filteredLineSeries>
            <c15:filteredLineSeries>
              <c15:ser>
                <c:idx val="26"/>
                <c:order val="25"/>
                <c:spPr>
                  <a:ln w="19050" cap="rnd" cmpd="sng" algn="ctr">
                    <a:solidFill>
                      <a:schemeClr val="accent3">
                        <a:tint val="6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Backlog'!$K$34:$AJ$34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3F8-4FB5-89D1-D20AAF532C84}"/>
                  </c:ext>
                </c:extLst>
              </c15:ser>
            </c15:filteredLineSeries>
            <c15:filteredLineSeries>
              <c15:ser>
                <c:idx val="27"/>
                <c:order val="26"/>
                <c:spPr>
                  <a:ln w="19050" cap="rnd" cmpd="sng" algn="ctr">
                    <a:solidFill>
                      <a:schemeClr val="accent3">
                        <a:tint val="6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Backlog'!$K$35:$AJ$35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B-F3F8-4FB5-89D1-D20AAF532C84}"/>
                  </c:ext>
                </c:extLst>
              </c15:ser>
            </c15:filteredLineSeries>
            <c15:filteredLineSeries>
              <c15:ser>
                <c:idx val="28"/>
                <c:order val="27"/>
                <c:spPr>
                  <a:ln w="19050" cap="rnd" cmpd="sng" algn="ctr">
                    <a:solidFill>
                      <a:schemeClr val="accent3">
                        <a:tint val="6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Backlog'!$K$36:$AJ$36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0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C-F3F8-4FB5-89D1-D20AAF532C84}"/>
                  </c:ext>
                </c:extLst>
              </c15:ser>
            </c15:filteredLineSeries>
            <c15:filteredLineSeries>
              <c15:ser>
                <c:idx val="29"/>
                <c:order val="28"/>
                <c:spPr>
                  <a:ln w="19050" cap="rnd" cmpd="sng" algn="ctr">
                    <a:solidFill>
                      <a:schemeClr val="accent3">
                        <a:tint val="6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Backlog'!$K$37:$AJ$37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D-F3F8-4FB5-89D1-D20AAF532C84}"/>
                  </c:ext>
                </c:extLst>
              </c15:ser>
            </c15:filteredLineSeries>
            <c15:filteredLineSeries>
              <c15:ser>
                <c:idx val="30"/>
                <c:order val="29"/>
                <c:spPr>
                  <a:ln w="19050" cap="rnd" cmpd="sng" algn="ctr">
                    <a:solidFill>
                      <a:schemeClr val="accent3">
                        <a:tint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Backlog'!$K$38:$AJ$38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0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E-F3F8-4FB5-89D1-D20AAF532C84}"/>
                  </c:ext>
                </c:extLst>
              </c15:ser>
            </c15:filteredLineSeries>
            <c15:filteredLineSeries>
              <c15:ser>
                <c:idx val="31"/>
                <c:order val="30"/>
                <c:spPr>
                  <a:ln w="19050" cap="rnd" cmpd="sng" algn="ctr">
                    <a:solidFill>
                      <a:schemeClr val="accent3">
                        <a:tint val="7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Backlog'!$K$39:$AJ$39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F-F3F8-4FB5-89D1-D20AAF532C84}"/>
                  </c:ext>
                </c:extLst>
              </c15:ser>
            </c15:filteredLineSeries>
            <c15:filteredLineSeries>
              <c15:ser>
                <c:idx val="32"/>
                <c:order val="31"/>
                <c:spPr>
                  <a:ln w="19050" cap="rnd" cmpd="sng" algn="ctr">
                    <a:solidFill>
                      <a:schemeClr val="accent3">
                        <a:tint val="7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Backlog'!$K$40:$AJ$40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0-F3F8-4FB5-89D1-D20AAF532C84}"/>
                  </c:ext>
                </c:extLst>
              </c15:ser>
            </c15:filteredLineSeries>
            <c15:filteredLineSeries>
              <c15:ser>
                <c:idx val="33"/>
                <c:order val="32"/>
                <c:spPr>
                  <a:ln w="19050" cap="rnd" cmpd="sng" algn="ctr">
                    <a:solidFill>
                      <a:schemeClr val="accent3">
                        <a:tint val="7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Backlog'!$K$41:$AJ$41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1-F3F8-4FB5-89D1-D20AAF532C84}"/>
                  </c:ext>
                </c:extLst>
              </c15:ser>
            </c15:filteredLineSeries>
            <c15:filteredLineSeries>
              <c15:ser>
                <c:idx val="34"/>
                <c:order val="33"/>
                <c:spPr>
                  <a:ln w="19050" cap="rnd" cmpd="sng" algn="ctr">
                    <a:solidFill>
                      <a:schemeClr val="accent3">
                        <a:tint val="7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Backlog'!$K$42:$AJ$42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19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2-F3F8-4FB5-89D1-D20AAF532C84}"/>
                  </c:ext>
                </c:extLst>
              </c15:ser>
            </c15:filteredLineSeries>
            <c15:filteredLineSeries>
              <c15:ser>
                <c:idx val="36"/>
                <c:order val="34"/>
                <c:spPr>
                  <a:ln w="19050" cap="rnd" cmpd="sng" algn="ctr">
                    <a:solidFill>
                      <a:schemeClr val="accent3">
                        <a:tint val="7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Backlog'!$K$44:$AJ$44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0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F3F8-4FB5-89D1-D20AAF532C84}"/>
                  </c:ext>
                </c:extLst>
              </c15:ser>
            </c15:filteredLineSeries>
            <c15:filteredLineSeries>
              <c15:ser>
                <c:idx val="37"/>
                <c:order val="35"/>
                <c:spPr>
                  <a:ln w="19050" cap="rnd" cmpd="sng" algn="ctr">
                    <a:solidFill>
                      <a:schemeClr val="accent3">
                        <a:tint val="7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Backlog'!$K$45:$AJ$45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F3F8-4FB5-89D1-D20AAF532C84}"/>
                  </c:ext>
                </c:extLst>
              </c15:ser>
            </c15:filteredLineSeries>
            <c15:filteredLineSeries>
              <c15:ser>
                <c:idx val="38"/>
                <c:order val="36"/>
                <c:spPr>
                  <a:ln w="19050" cap="rnd" cmpd="sng" algn="ctr">
                    <a:solidFill>
                      <a:schemeClr val="accent3">
                        <a:tint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Backlog'!$K$46:$AJ$46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2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F3F8-4FB5-89D1-D20AAF532C84}"/>
                  </c:ext>
                </c:extLst>
              </c15:ser>
            </c15:filteredLineSeries>
            <c15:filteredLineSeries>
              <c15:ser>
                <c:idx val="39"/>
                <c:order val="37"/>
                <c:spPr>
                  <a:ln w="19050" cap="rnd" cmpd="sng" algn="ctr">
                    <a:solidFill>
                      <a:schemeClr val="accent3">
                        <a:tint val="8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Backlog'!$K$47:$AJ$47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3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F3F8-4FB5-89D1-D20AAF532C84}"/>
                  </c:ext>
                </c:extLst>
              </c15:ser>
            </c15:filteredLineSeries>
            <c15:filteredLineSeries>
              <c15:ser>
                <c:idx val="40"/>
                <c:order val="38"/>
                <c:spPr>
                  <a:ln w="19050" cap="rnd" cmpd="sng" algn="ctr">
                    <a:solidFill>
                      <a:schemeClr val="accent3">
                        <a:tint val="8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Backlog'!$K$48:$AJ$48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5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F3F8-4FB5-89D1-D20AAF532C84}"/>
                  </c:ext>
                </c:extLst>
              </c15:ser>
            </c15:filteredLineSeries>
            <c15:filteredLineSeries>
              <c15:ser>
                <c:idx val="41"/>
                <c:order val="39"/>
                <c:spPr>
                  <a:ln w="19050" cap="rnd" cmpd="sng" algn="ctr">
                    <a:solidFill>
                      <a:schemeClr val="accent3">
                        <a:tint val="8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Backlog'!$K$49:$AJ$49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24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F3F8-4FB5-89D1-D20AAF532C84}"/>
                  </c:ext>
                </c:extLst>
              </c15:ser>
            </c15:filteredLineSeries>
            <c15:filteredLineSeries>
              <c15:ser>
                <c:idx val="42"/>
                <c:order val="40"/>
                <c:spPr>
                  <a:ln w="19050" cap="rnd" cmpd="sng" algn="ctr">
                    <a:solidFill>
                      <a:schemeClr val="accent3">
                        <a:tint val="8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F3F8-4FB5-89D1-D20AAF532C84}"/>
                  </c:ext>
                </c:extLst>
              </c15:ser>
            </c15:filteredLineSeries>
            <c15:filteredLineSeries>
              <c15:ser>
                <c:idx val="43"/>
                <c:order val="41"/>
                <c:spPr>
                  <a:ln w="19050" cap="rnd" cmpd="sng" algn="ctr">
                    <a:solidFill>
                      <a:schemeClr val="accent3">
                        <a:tint val="8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F3F8-4FB5-89D1-D20AAF532C84}"/>
                  </c:ext>
                </c:extLst>
              </c15:ser>
            </c15:filteredLineSeries>
            <c15:filteredLineSeries>
              <c15:ser>
                <c:idx val="44"/>
                <c:order val="42"/>
                <c:spPr>
                  <a:ln w="19050" cap="rnd" cmpd="sng" algn="ctr">
                    <a:solidFill>
                      <a:schemeClr val="accent3">
                        <a:tint val="8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F3F8-4FB5-89D1-D20AAF532C84}"/>
                  </c:ext>
                </c:extLst>
              </c15:ser>
            </c15:filteredLineSeries>
            <c15:filteredLineSeries>
              <c15:ser>
                <c:idx val="45"/>
                <c:order val="43"/>
                <c:spPr>
                  <a:ln w="19050" cap="rnd" cmpd="sng" algn="ctr">
                    <a:solidFill>
                      <a:schemeClr val="accent3">
                        <a:tint val="8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F3F8-4FB5-89D1-D20AAF532C84}"/>
                  </c:ext>
                </c:extLst>
              </c15:ser>
            </c15:filteredLineSeries>
            <c15:filteredLineSeries>
              <c15:ser>
                <c:idx val="46"/>
                <c:order val="44"/>
                <c:spPr>
                  <a:ln w="19050" cap="rnd" cmpd="sng" algn="ctr">
                    <a:solidFill>
                      <a:schemeClr val="accent3">
                        <a:tint val="9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F3F8-4FB5-89D1-D20AAF532C84}"/>
                  </c:ext>
                </c:extLst>
              </c15:ser>
            </c15:filteredLineSeries>
            <c15:filteredLineSeries>
              <c15:ser>
                <c:idx val="47"/>
                <c:order val="45"/>
                <c:spPr>
                  <a:ln w="19050" cap="rnd" cmpd="sng" algn="ctr">
                    <a:solidFill>
                      <a:schemeClr val="accent3">
                        <a:tint val="9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F-F3F8-4FB5-89D1-D20AAF532C84}"/>
                  </c:ext>
                </c:extLst>
              </c15:ser>
            </c15:filteredLineSeries>
            <c15:filteredLineSeries>
              <c15:ser>
                <c:idx val="48"/>
                <c:order val="46"/>
                <c:spPr>
                  <a:ln w="19050" cap="rnd" cmpd="sng" algn="ctr">
                    <a:solidFill>
                      <a:schemeClr val="accent3">
                        <a:tint val="9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0-F3F8-4FB5-89D1-D20AAF532C84}"/>
                  </c:ext>
                </c:extLst>
              </c15:ser>
            </c15:filteredLineSeries>
            <c15:filteredLineSeries>
              <c15:ser>
                <c:idx val="49"/>
                <c:order val="47"/>
                <c:spPr>
                  <a:ln w="19050" cap="rnd" cmpd="sng" algn="ctr">
                    <a:solidFill>
                      <a:schemeClr val="accent3">
                        <a:tint val="9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1-F3F8-4FB5-89D1-D20AAF532C84}"/>
                  </c:ext>
                </c:extLst>
              </c15:ser>
            </c15:filteredLineSeries>
            <c15:filteredLineSeries>
              <c15:ser>
                <c:idx val="50"/>
                <c:order val="48"/>
                <c:spPr>
                  <a:ln w="19050" cap="rnd" cmpd="sng" algn="ctr">
                    <a:solidFill>
                      <a:schemeClr val="accent3">
                        <a:tint val="9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2-F3F8-4FB5-89D1-D20AAF532C84}"/>
                  </c:ext>
                </c:extLst>
              </c15:ser>
            </c15:filteredLineSeries>
            <c15:filteredLineSeries>
              <c15:ser>
                <c:idx val="51"/>
                <c:order val="49"/>
                <c:spPr>
                  <a:ln w="19050" cap="rnd" cmpd="sng" algn="ctr">
                    <a:solidFill>
                      <a:schemeClr val="accent3">
                        <a:tint val="9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3-F3F8-4FB5-89D1-D20AAF532C84}"/>
                  </c:ext>
                </c:extLst>
              </c15:ser>
            </c15:filteredLineSeries>
            <c15:filteredLineSeries>
              <c15:ser>
                <c:idx val="52"/>
                <c:order val="50"/>
                <c:spPr>
                  <a:ln w="19050" cap="rnd" cmpd="sng" algn="ctr">
                    <a:solidFill>
                      <a:schemeClr val="accent3">
                        <a:tint val="9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4-F3F8-4FB5-89D1-D20AAF532C84}"/>
                  </c:ext>
                </c:extLst>
              </c15:ser>
            </c15:filteredLineSeries>
            <c15:filteredLineSeries>
              <c15:ser>
                <c:idx val="53"/>
                <c:order val="51"/>
                <c:spPr>
                  <a:ln w="19050" cap="rnd" cmpd="sng" algn="ctr">
                    <a:solidFill>
                      <a:schemeClr val="accent3">
                        <a:tint val="9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F3F8-4FB5-89D1-D20AAF532C84}"/>
                  </c:ext>
                </c:extLst>
              </c15:ser>
            </c15:filteredLineSeries>
            <c15:filteredLineSeries>
              <c15:ser>
                <c:idx val="54"/>
                <c:order val="52"/>
                <c:spPr>
                  <a:ln w="19050" cap="rnd" cmpd="sng" algn="ctr">
                    <a:solidFill>
                      <a:schemeClr val="accent3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6-F3F8-4FB5-89D1-D20AAF532C84}"/>
                  </c:ext>
                </c:extLst>
              </c15:ser>
            </c15:filteredLineSeries>
            <c15:filteredLineSeries>
              <c15:ser>
                <c:idx val="55"/>
                <c:order val="53"/>
                <c:spPr>
                  <a:ln w="19050" cap="rnd" cmpd="sng" algn="ctr">
                    <a:solidFill>
                      <a:schemeClr val="accent3">
                        <a:shade val="9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7-F3F8-4FB5-89D1-D20AAF532C84}"/>
                  </c:ext>
                </c:extLst>
              </c15:ser>
            </c15:filteredLineSeries>
            <c15:filteredLineSeries>
              <c15:ser>
                <c:idx val="56"/>
                <c:order val="54"/>
                <c:spPr>
                  <a:ln w="19050" cap="rnd" cmpd="sng" algn="ctr">
                    <a:solidFill>
                      <a:schemeClr val="accent3">
                        <a:shade val="9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8-F3F8-4FB5-89D1-D20AAF532C84}"/>
                  </c:ext>
                </c:extLst>
              </c15:ser>
            </c15:filteredLineSeries>
            <c15:filteredLineSeries>
              <c15:ser>
                <c:idx val="57"/>
                <c:order val="55"/>
                <c:spPr>
                  <a:ln w="19050" cap="rnd" cmpd="sng" algn="ctr">
                    <a:solidFill>
                      <a:schemeClr val="accent3">
                        <a:shade val="9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F3F8-4FB5-89D1-D20AAF532C84}"/>
                  </c:ext>
                </c:extLst>
              </c15:ser>
            </c15:filteredLineSeries>
            <c15:filteredLineSeries>
              <c15:ser>
                <c:idx val="58"/>
                <c:order val="56"/>
                <c:spPr>
                  <a:ln w="19050" cap="rnd" cmpd="sng" algn="ctr">
                    <a:solidFill>
                      <a:schemeClr val="accent3">
                        <a:shade val="9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A-F3F8-4FB5-89D1-D20AAF532C84}"/>
                  </c:ext>
                </c:extLst>
              </c15:ser>
            </c15:filteredLineSeries>
            <c15:filteredLineSeries>
              <c15:ser>
                <c:idx val="59"/>
                <c:order val="57"/>
                <c:spPr>
                  <a:ln w="19050" cap="rnd" cmpd="sng" algn="ctr">
                    <a:solidFill>
                      <a:schemeClr val="accent3">
                        <a:shade val="9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B-F3F8-4FB5-89D1-D20AAF532C84}"/>
                  </c:ext>
                </c:extLst>
              </c15:ser>
            </c15:filteredLineSeries>
            <c15:filteredLineSeries>
              <c15:ser>
                <c:idx val="60"/>
                <c:order val="58"/>
                <c:spPr>
                  <a:ln w="19050" cap="rnd" cmpd="sng" algn="ctr">
                    <a:solidFill>
                      <a:schemeClr val="accent3">
                        <a:shade val="9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C-F3F8-4FB5-89D1-D20AAF532C84}"/>
                  </c:ext>
                </c:extLst>
              </c15:ser>
            </c15:filteredLineSeries>
            <c15:filteredLineSeries>
              <c15:ser>
                <c:idx val="61"/>
                <c:order val="59"/>
                <c:spPr>
                  <a:ln w="19050" cap="rnd" cmpd="sng" algn="ctr">
                    <a:solidFill>
                      <a:schemeClr val="accent3">
                        <a:shade val="9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D-F3F8-4FB5-89D1-D20AAF532C84}"/>
                  </c:ext>
                </c:extLst>
              </c15:ser>
            </c15:filteredLineSeries>
            <c15:filteredLineSeries>
              <c15:ser>
                <c:idx val="62"/>
                <c:order val="60"/>
                <c:spPr>
                  <a:ln w="19050" cap="rnd" cmpd="sng" algn="ctr">
                    <a:solidFill>
                      <a:schemeClr val="accent3">
                        <a:shade val="9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E-F3F8-4FB5-89D1-D20AAF532C84}"/>
                  </c:ext>
                </c:extLst>
              </c15:ser>
            </c15:filteredLineSeries>
            <c15:filteredLineSeries>
              <c15:ser>
                <c:idx val="63"/>
                <c:order val="61"/>
                <c:spPr>
                  <a:ln w="19050" cap="rnd" cmpd="sng" algn="ctr">
                    <a:solidFill>
                      <a:schemeClr val="accent3">
                        <a:shade val="8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F-F3F8-4FB5-89D1-D20AAF532C84}"/>
                  </c:ext>
                </c:extLst>
              </c15:ser>
            </c15:filteredLineSeries>
            <c15:filteredLineSeries>
              <c15:ser>
                <c:idx val="64"/>
                <c:order val="62"/>
                <c:spPr>
                  <a:ln w="19050" cap="rnd" cmpd="sng" algn="ctr">
                    <a:solidFill>
                      <a:schemeClr val="accent3">
                        <a:shade val="8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0-F3F8-4FB5-89D1-D20AAF532C84}"/>
                  </c:ext>
                </c:extLst>
              </c15:ser>
            </c15:filteredLineSeries>
            <c15:filteredLineSeries>
              <c15:ser>
                <c:idx val="65"/>
                <c:order val="63"/>
                <c:spPr>
                  <a:ln w="19050" cap="rnd" cmpd="sng" algn="ctr">
                    <a:solidFill>
                      <a:schemeClr val="accent3">
                        <a:shade val="8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1-F3F8-4FB5-89D1-D20AAF532C84}"/>
                  </c:ext>
                </c:extLst>
              </c15:ser>
            </c15:filteredLineSeries>
            <c15:filteredLineSeries>
              <c15:ser>
                <c:idx val="66"/>
                <c:order val="64"/>
                <c:spPr>
                  <a:ln w="19050" cap="rnd" cmpd="sng" algn="ctr">
                    <a:solidFill>
                      <a:schemeClr val="accent3">
                        <a:shade val="8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2-F3F8-4FB5-89D1-D20AAF532C84}"/>
                  </c:ext>
                </c:extLst>
              </c15:ser>
            </c15:filteredLineSeries>
            <c15:filteredLineSeries>
              <c15:ser>
                <c:idx val="67"/>
                <c:order val="65"/>
                <c:spPr>
                  <a:ln w="19050" cap="rnd" cmpd="sng" algn="ctr">
                    <a:solidFill>
                      <a:schemeClr val="accent3">
                        <a:shade val="8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4-F3F8-4FB5-89D1-D20AAF532C84}"/>
                  </c:ext>
                </c:extLst>
              </c15:ser>
            </c15:filteredLineSeries>
            <c15:filteredLineSeries>
              <c15:ser>
                <c:idx val="68"/>
                <c:order val="66"/>
                <c:spPr>
                  <a:ln w="19050" cap="rnd" cmpd="sng" algn="ctr">
                    <a:solidFill>
                      <a:schemeClr val="accent3">
                        <a:shade val="8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5-F3F8-4FB5-89D1-D20AAF532C84}"/>
                  </c:ext>
                </c:extLst>
              </c15:ser>
            </c15:filteredLineSeries>
            <c15:filteredLineSeries>
              <c15:ser>
                <c:idx val="69"/>
                <c:order val="67"/>
                <c:spPr>
                  <a:ln w="19050" cap="rnd" cmpd="sng" algn="ctr">
                    <a:solidFill>
                      <a:schemeClr val="accent3">
                        <a:shade val="8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6-F3F8-4FB5-89D1-D20AAF532C84}"/>
                  </c:ext>
                </c:extLst>
              </c15:ser>
            </c15:filteredLineSeries>
            <c15:filteredLineSeries>
              <c15:ser>
                <c:idx val="70"/>
                <c:order val="68"/>
                <c:spPr>
                  <a:ln w="19050" cap="rnd" cmpd="sng" algn="ctr">
                    <a:solidFill>
                      <a:schemeClr val="accent3">
                        <a:shade val="8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7-F3F8-4FB5-89D1-D20AAF532C84}"/>
                  </c:ext>
                </c:extLst>
              </c15:ser>
            </c15:filteredLineSeries>
            <c15:filteredLineSeries>
              <c15:ser>
                <c:idx val="71"/>
                <c:order val="69"/>
                <c:spPr>
                  <a:ln w="19050" cap="rnd" cmpd="sng" algn="ctr">
                    <a:solidFill>
                      <a:schemeClr val="accent3">
                        <a:shade val="7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8-F3F8-4FB5-89D1-D20AAF532C84}"/>
                  </c:ext>
                </c:extLst>
              </c15:ser>
            </c15:filteredLineSeries>
            <c15:filteredLineSeries>
              <c15:ser>
                <c:idx val="72"/>
                <c:order val="70"/>
                <c:spPr>
                  <a:ln w="19050" cap="rnd" cmpd="sng" algn="ctr">
                    <a:solidFill>
                      <a:schemeClr val="accent3">
                        <a:shade val="7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9-F3F8-4FB5-89D1-D20AAF532C84}"/>
                  </c:ext>
                </c:extLst>
              </c15:ser>
            </c15:filteredLineSeries>
            <c15:filteredLineSeries>
              <c15:ser>
                <c:idx val="73"/>
                <c:order val="71"/>
                <c:spPr>
                  <a:ln w="19050" cap="rnd" cmpd="sng" algn="ctr">
                    <a:solidFill>
                      <a:schemeClr val="accent3">
                        <a:shade val="7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A-F3F8-4FB5-89D1-D20AAF532C84}"/>
                  </c:ext>
                </c:extLst>
              </c15:ser>
            </c15:filteredLineSeries>
            <c15:filteredLineSeries>
              <c15:ser>
                <c:idx val="74"/>
                <c:order val="72"/>
                <c:spPr>
                  <a:ln w="19050" cap="rnd" cmpd="sng" algn="ctr">
                    <a:solidFill>
                      <a:schemeClr val="accent3">
                        <a:shade val="7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B-F3F8-4FB5-89D1-D20AAF532C84}"/>
                  </c:ext>
                </c:extLst>
              </c15:ser>
            </c15:filteredLineSeries>
            <c15:filteredLineSeries>
              <c15:ser>
                <c:idx val="75"/>
                <c:order val="73"/>
                <c:spPr>
                  <a:ln w="19050" cap="rnd" cmpd="sng" algn="ctr">
                    <a:solidFill>
                      <a:schemeClr val="accent3">
                        <a:shade val="7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C-F3F8-4FB5-89D1-D20AAF532C84}"/>
                  </c:ext>
                </c:extLst>
              </c15:ser>
            </c15:filteredLineSeries>
            <c15:filteredLineSeries>
              <c15:ser>
                <c:idx val="76"/>
                <c:order val="74"/>
                <c:spPr>
                  <a:ln w="19050" cap="rnd" cmpd="sng" algn="ctr">
                    <a:solidFill>
                      <a:schemeClr val="accent3">
                        <a:shade val="7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D-F3F8-4FB5-89D1-D20AAF532C84}"/>
                  </c:ext>
                </c:extLst>
              </c15:ser>
            </c15:filteredLineSeries>
            <c15:filteredLineSeries>
              <c15:ser>
                <c:idx val="77"/>
                <c:order val="75"/>
                <c:spPr>
                  <a:ln w="19050" cap="rnd" cmpd="sng" algn="ctr">
                    <a:solidFill>
                      <a:schemeClr val="accent3">
                        <a:shade val="7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E-F3F8-4FB5-89D1-D20AAF532C84}"/>
                  </c:ext>
                </c:extLst>
              </c15:ser>
            </c15:filteredLineSeries>
            <c15:filteredLineSeries>
              <c15:ser>
                <c:idx val="78"/>
                <c:order val="76"/>
                <c:spPr>
                  <a:ln w="19050" cap="rnd" cmpd="sng" algn="ctr">
                    <a:solidFill>
                      <a:schemeClr val="accent3">
                        <a:shade val="7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F3F8-4FB5-89D1-D20AAF532C84}"/>
                  </c:ext>
                </c:extLst>
              </c15:ser>
            </c15:filteredLineSeries>
            <c15:filteredLineSeries>
              <c15:ser>
                <c:idx val="79"/>
                <c:order val="77"/>
                <c:spPr>
                  <a:ln w="19050" cap="rnd" cmpd="sng" algn="ctr">
                    <a:solidFill>
                      <a:schemeClr val="accent3">
                        <a:shade val="6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0-F3F8-4FB5-89D1-D20AAF532C84}"/>
                  </c:ext>
                </c:extLst>
              </c15:ser>
            </c15:filteredLineSeries>
            <c15:filteredLineSeries>
              <c15:ser>
                <c:idx val="80"/>
                <c:order val="78"/>
                <c:spPr>
                  <a:ln w="19050" cap="rnd" cmpd="sng" algn="ctr">
                    <a:solidFill>
                      <a:schemeClr val="accent3">
                        <a:shade val="6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1-F3F8-4FB5-89D1-D20AAF532C84}"/>
                  </c:ext>
                </c:extLst>
              </c15:ser>
            </c15:filteredLineSeries>
            <c15:filteredLineSeries>
              <c15:ser>
                <c:idx val="81"/>
                <c:order val="79"/>
                <c:spPr>
                  <a:ln w="19050" cap="rnd" cmpd="sng" algn="ctr">
                    <a:solidFill>
                      <a:schemeClr val="accent3">
                        <a:shade val="6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2-F3F8-4FB5-89D1-D20AAF532C84}"/>
                  </c:ext>
                </c:extLst>
              </c15:ser>
            </c15:filteredLineSeries>
            <c15:filteredLineSeries>
              <c15:ser>
                <c:idx val="82"/>
                <c:order val="80"/>
                <c:spPr>
                  <a:ln w="19050" cap="rnd" cmpd="sng" algn="ctr">
                    <a:solidFill>
                      <a:schemeClr val="accent3">
                        <a:shade val="6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3-F3F8-4FB5-89D1-D20AAF532C84}"/>
                  </c:ext>
                </c:extLst>
              </c15:ser>
            </c15:filteredLineSeries>
            <c15:filteredLineSeries>
              <c15:ser>
                <c:idx val="83"/>
                <c:order val="81"/>
                <c:spPr>
                  <a:ln w="19050" cap="rnd" cmpd="sng" algn="ctr">
                    <a:solidFill>
                      <a:schemeClr val="accent3">
                        <a:shade val="64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4-F3F8-4FB5-89D1-D20AAF532C84}"/>
                  </c:ext>
                </c:extLst>
              </c15:ser>
            </c15:filteredLineSeries>
            <c15:filteredLineSeries>
              <c15:ser>
                <c:idx val="84"/>
                <c:order val="82"/>
                <c:spPr>
                  <a:ln w="19050" cap="rnd" cmpd="sng" algn="ctr">
                    <a:solidFill>
                      <a:schemeClr val="accent3">
                        <a:shade val="6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5-F3F8-4FB5-89D1-D20AAF532C84}"/>
                  </c:ext>
                </c:extLst>
              </c15:ser>
            </c15:filteredLineSeries>
            <c15:filteredLineSeries>
              <c15:ser>
                <c:idx val="85"/>
                <c:order val="83"/>
                <c:spPr>
                  <a:ln w="19050" cap="rnd" cmpd="sng" algn="ctr">
                    <a:solidFill>
                      <a:schemeClr val="accent3">
                        <a:shade val="6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6-F3F8-4FB5-89D1-D20AAF532C84}"/>
                  </c:ext>
                </c:extLst>
              </c15:ser>
            </c15:filteredLineSeries>
            <c15:filteredLineSeries>
              <c15:ser>
                <c:idx val="86"/>
                <c:order val="84"/>
                <c:spPr>
                  <a:ln w="19050" cap="rnd" cmpd="sng" algn="ctr">
                    <a:solidFill>
                      <a:schemeClr val="accent3">
                        <a:shade val="6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7-F3F8-4FB5-89D1-D20AAF532C84}"/>
                  </c:ext>
                </c:extLst>
              </c15:ser>
            </c15:filteredLineSeries>
            <c15:filteredLineSeries>
              <c15:ser>
                <c:idx val="87"/>
                <c:order val="85"/>
                <c:spPr>
                  <a:ln w="19050" cap="rnd" cmpd="sng" algn="ctr">
                    <a:solidFill>
                      <a:schemeClr val="accent3">
                        <a:shade val="59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8-F3F8-4FB5-89D1-D20AAF532C84}"/>
                  </c:ext>
                </c:extLst>
              </c15:ser>
            </c15:filteredLineSeries>
            <c15:filteredLineSeries>
              <c15:ser>
                <c:idx val="88"/>
                <c:order val="86"/>
                <c:spPr>
                  <a:ln w="19050" cap="rnd" cmpd="sng" algn="ctr">
                    <a:solidFill>
                      <a:schemeClr val="accent3">
                        <a:shade val="5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9-F3F8-4FB5-89D1-D20AAF532C84}"/>
                  </c:ext>
                </c:extLst>
              </c15:ser>
            </c15:filteredLineSeries>
            <c15:filteredLineSeries>
              <c15:ser>
                <c:idx val="89"/>
                <c:order val="87"/>
                <c:spPr>
                  <a:ln w="19050" cap="rnd" cmpd="sng" algn="ctr">
                    <a:solidFill>
                      <a:schemeClr val="accent3">
                        <a:shade val="5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A-F3F8-4FB5-89D1-D20AAF532C84}"/>
                  </c:ext>
                </c:extLst>
              </c15:ser>
            </c15:filteredLineSeries>
            <c15:filteredLineSeries>
              <c15:ser>
                <c:idx val="90"/>
                <c:order val="88"/>
                <c:spPr>
                  <a:ln w="19050" cap="rnd" cmpd="sng" algn="ctr">
                    <a:solidFill>
                      <a:schemeClr val="accent3">
                        <a:shade val="5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B-F3F8-4FB5-89D1-D20AAF532C84}"/>
                  </c:ext>
                </c:extLst>
              </c15:ser>
            </c15:filteredLineSeries>
            <c15:filteredLineSeries>
              <c15:ser>
                <c:idx val="91"/>
                <c:order val="89"/>
                <c:spPr>
                  <a:ln w="19050" cap="rnd" cmpd="sng" algn="ctr">
                    <a:solidFill>
                      <a:schemeClr val="accent3">
                        <a:shade val="5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C-F3F8-4FB5-89D1-D20AAF532C84}"/>
                  </c:ext>
                </c:extLst>
              </c15:ser>
            </c15:filteredLineSeries>
            <c15:filteredLineSeries>
              <c15:ser>
                <c:idx val="92"/>
                <c:order val="90"/>
                <c:spPr>
                  <a:ln w="19050" cap="rnd" cmpd="sng" algn="ctr">
                    <a:solidFill>
                      <a:schemeClr val="accent3">
                        <a:shade val="5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D-F3F8-4FB5-89D1-D20AAF532C84}"/>
                  </c:ext>
                </c:extLst>
              </c15:ser>
            </c15:filteredLineSeries>
            <c15:filteredLineSeries>
              <c15:ser>
                <c:idx val="93"/>
                <c:order val="91"/>
                <c:spPr>
                  <a:ln w="19050" cap="rnd" cmpd="sng" algn="ctr">
                    <a:solidFill>
                      <a:schemeClr val="accent3">
                        <a:shade val="5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E-F3F8-4FB5-89D1-D20AAF532C84}"/>
                  </c:ext>
                </c:extLst>
              </c15:ser>
            </c15:filteredLineSeries>
            <c15:filteredLineSeries>
              <c15:ser>
                <c:idx val="94"/>
                <c:order val="92"/>
                <c:spPr>
                  <a:ln w="19050" cap="rnd" cmpd="sng" algn="ctr">
                    <a:solidFill>
                      <a:schemeClr val="accent3">
                        <a:shade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F3F8-4FB5-89D1-D20AAF532C84}"/>
                  </c:ext>
                </c:extLst>
              </c15:ser>
            </c15:filteredLineSeries>
            <c15:filteredLineSeries>
              <c15:ser>
                <c:idx val="95"/>
                <c:order val="93"/>
                <c:spPr>
                  <a:ln w="19050" cap="rnd" cmpd="sng" algn="ctr">
                    <a:solidFill>
                      <a:schemeClr val="accent3">
                        <a:shade val="4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0-F3F8-4FB5-89D1-D20AAF532C84}"/>
                  </c:ext>
                </c:extLst>
              </c15:ser>
            </c15:filteredLineSeries>
            <c15:filteredLineSeries>
              <c15:ser>
                <c:idx val="96"/>
                <c:order val="94"/>
                <c:spPr>
                  <a:ln w="19050" cap="rnd" cmpd="sng" algn="ctr">
                    <a:solidFill>
                      <a:schemeClr val="accent3">
                        <a:shade val="4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1-F3F8-4FB5-89D1-D20AAF532C84}"/>
                  </c:ext>
                </c:extLst>
              </c15:ser>
            </c15:filteredLineSeries>
            <c15:filteredLineSeries>
              <c15:ser>
                <c:idx val="97"/>
                <c:order val="95"/>
                <c:spPr>
                  <a:ln w="19050" cap="rnd" cmpd="sng" algn="ctr">
                    <a:solidFill>
                      <a:schemeClr val="accent3">
                        <a:shade val="4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2-F3F8-4FB5-89D1-D20AAF532C84}"/>
                  </c:ext>
                </c:extLst>
              </c15:ser>
            </c15:filteredLineSeries>
            <c15:filteredLineSeries>
              <c15:ser>
                <c:idx val="98"/>
                <c:order val="96"/>
                <c:spPr>
                  <a:ln w="19050" cap="rnd" cmpd="sng" algn="ctr">
                    <a:solidFill>
                      <a:schemeClr val="accent3">
                        <a:shade val="4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3-F3F8-4FB5-89D1-D20AAF532C84}"/>
                  </c:ext>
                </c:extLst>
              </c15:ser>
            </c15:filteredLineSeries>
            <c15:filteredLineSeries>
              <c15:ser>
                <c:idx val="99"/>
                <c:order val="97"/>
                <c:spPr>
                  <a:ln w="19050" cap="rnd" cmpd="sng" algn="ctr">
                    <a:solidFill>
                      <a:schemeClr val="accent3">
                        <a:shade val="4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4-F3F8-4FB5-89D1-D20AAF532C84}"/>
                  </c:ext>
                </c:extLst>
              </c15:ser>
            </c15:filteredLineSeries>
            <c15:filteredLineSeries>
              <c15:ser>
                <c:idx val="100"/>
                <c:order val="98"/>
                <c:spPr>
                  <a:ln w="19050" cap="rnd" cmpd="sng" algn="ctr">
                    <a:solidFill>
                      <a:schemeClr val="accent3">
                        <a:shade val="4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5-F3F8-4FB5-89D1-D20AAF532C84}"/>
                  </c:ext>
                </c:extLst>
              </c15:ser>
            </c15:filteredLineSeries>
            <c15:filteredLineSeries>
              <c15:ser>
                <c:idx val="101"/>
                <c:order val="99"/>
                <c:spPr>
                  <a:ln w="19050" cap="rnd" cmpd="sng" algn="ctr">
                    <a:solidFill>
                      <a:schemeClr val="accent3">
                        <a:shade val="41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6-F3F8-4FB5-89D1-D20AAF532C84}"/>
                  </c:ext>
                </c:extLst>
              </c15:ser>
            </c15:filteredLineSeries>
            <c15:filteredLineSeries>
              <c15:ser>
                <c:idx val="102"/>
                <c:order val="100"/>
                <c:spPr>
                  <a:ln w="19050" cap="rnd" cmpd="sng" algn="ctr">
                    <a:solidFill>
                      <a:schemeClr val="accent3">
                        <a:shade val="4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7-F3F8-4FB5-89D1-D20AAF532C84}"/>
                  </c:ext>
                </c:extLst>
              </c15:ser>
            </c15:filteredLineSeries>
            <c15:filteredLineSeries>
              <c15:ser>
                <c:idx val="103"/>
                <c:order val="101"/>
                <c:spPr>
                  <a:ln w="19050" cap="rnd" cmpd="sng" algn="ctr">
                    <a:solidFill>
                      <a:schemeClr val="accent3">
                        <a:shade val="38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8-F3F8-4FB5-89D1-D20AAF532C84}"/>
                  </c:ext>
                </c:extLst>
              </c15:ser>
            </c15:filteredLineSeries>
            <c15:filteredLineSeries>
              <c15:ser>
                <c:idx val="104"/>
                <c:order val="102"/>
                <c:spPr>
                  <a:ln w="19050" cap="rnd" cmpd="sng" algn="ctr">
                    <a:solidFill>
                      <a:schemeClr val="accent3">
                        <a:shade val="37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9-F3F8-4FB5-89D1-D20AAF532C84}"/>
                  </c:ext>
                </c:extLst>
              </c15:ser>
            </c15:filteredLineSeries>
            <c15:filteredLineSeries>
              <c15:ser>
                <c:idx val="105"/>
                <c:order val="103"/>
                <c:spPr>
                  <a:ln w="19050" cap="rnd" cmpd="sng" algn="ctr">
                    <a:solidFill>
                      <a:schemeClr val="accent3">
                        <a:shade val="36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A-F3F8-4FB5-89D1-D20AAF532C84}"/>
                  </c:ext>
                </c:extLst>
              </c15:ser>
            </c15:filteredLineSeries>
            <c15:filteredLineSeries>
              <c15:ser>
                <c:idx val="106"/>
                <c:order val="104"/>
                <c:spPr>
                  <a:ln w="19050" cap="rnd" cmpd="sng" algn="ctr">
                    <a:solidFill>
                      <a:schemeClr val="accent3">
                        <a:shade val="3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B-F3F8-4FB5-89D1-D20AAF532C84}"/>
                  </c:ext>
                </c:extLst>
              </c15:ser>
            </c15:filteredLineSeries>
            <c15:filteredLineSeries>
              <c15:ser>
                <c:idx val="107"/>
                <c:order val="105"/>
                <c:spPr>
                  <a:ln w="19050" cap="rnd" cmpd="sng" algn="ctr">
                    <a:solidFill>
                      <a:schemeClr val="accent3">
                        <a:shade val="33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C-F3F8-4FB5-89D1-D20AAF532C84}"/>
                  </c:ext>
                </c:extLst>
              </c15:ser>
            </c15:filteredLineSeries>
            <c15:filteredLineSeries>
              <c15:ser>
                <c:idx val="108"/>
                <c:order val="106"/>
                <c:spPr>
                  <a:ln w="19050" cap="rnd" cmpd="sng" algn="ctr">
                    <a:solidFill>
                      <a:schemeClr val="accent3">
                        <a:shade val="32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Backlog'!$K$7:$AJ$7</c15:sqref>
                        </c15:formulaRef>
                      </c:ext>
                    </c:extLst>
                    <c:strCache>
                      <c:ptCount val="26"/>
                      <c:pt idx="0">
                        <c:v>Day 1</c:v>
                      </c:pt>
                      <c:pt idx="1">
                        <c:v>Day 2</c:v>
                      </c:pt>
                      <c:pt idx="2">
                        <c:v>Day 3</c:v>
                      </c:pt>
                      <c:pt idx="3">
                        <c:v>Day 4</c:v>
                      </c:pt>
                      <c:pt idx="4">
                        <c:v>Day 5</c:v>
                      </c:pt>
                      <c:pt idx="5">
                        <c:v>Day 6</c:v>
                      </c:pt>
                      <c:pt idx="6">
                        <c:v>Day 7</c:v>
                      </c:pt>
                      <c:pt idx="7">
                        <c:v>Day 8</c:v>
                      </c:pt>
                      <c:pt idx="8">
                        <c:v>Day 9</c:v>
                      </c:pt>
                      <c:pt idx="9">
                        <c:v>Day 10</c:v>
                      </c:pt>
                      <c:pt idx="10">
                        <c:v>Day 11</c:v>
                      </c:pt>
                      <c:pt idx="11">
                        <c:v>Day 12</c:v>
                      </c:pt>
                      <c:pt idx="12">
                        <c:v>Day 13</c:v>
                      </c:pt>
                      <c:pt idx="13">
                        <c:v>Day 14</c:v>
                      </c:pt>
                      <c:pt idx="14">
                        <c:v>Day 15</c:v>
                      </c:pt>
                      <c:pt idx="15">
                        <c:v>Day 16</c:v>
                      </c:pt>
                      <c:pt idx="16">
                        <c:v>Day 17</c:v>
                      </c:pt>
                      <c:pt idx="17">
                        <c:v>Day 18</c:v>
                      </c:pt>
                      <c:pt idx="18">
                        <c:v>Day 19</c:v>
                      </c:pt>
                      <c:pt idx="19">
                        <c:v>Day 20</c:v>
                      </c:pt>
                      <c:pt idx="20">
                        <c:v>Day 21</c:v>
                      </c:pt>
                      <c:pt idx="21">
                        <c:v>Day 22</c:v>
                      </c:pt>
                      <c:pt idx="22">
                        <c:v>Day 23</c:v>
                      </c:pt>
                      <c:pt idx="23">
                        <c:v>Day 24</c:v>
                      </c:pt>
                      <c:pt idx="24">
                        <c:v>Day 25</c:v>
                      </c:pt>
                      <c:pt idx="25">
                        <c:v>Day 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'Sprint 4 Backlog'!#REF!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6D-F3F8-4FB5-89D1-D20AAF532C84}"/>
                  </c:ext>
                </c:extLst>
              </c15:ser>
            </c15:filteredLineSeries>
          </c:ext>
        </c:extLst>
      </c:lineChart>
      <c:catAx>
        <c:axId val="15950845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97715549"/>
        <c:crosses val="autoZero"/>
        <c:auto val="1"/>
        <c:lblAlgn val="ctr"/>
        <c:lblOffset val="100"/>
        <c:noMultiLvlLbl val="1"/>
      </c:catAx>
      <c:valAx>
        <c:axId val="897715549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lvl="0"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1300" b="0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95084515"/>
        <c:crosses val="autoZero"/>
        <c:crossBetween val="between"/>
        <c:majorUnit val="50"/>
      </c:valAx>
      <c:spPr>
        <a:solidFill>
          <a:schemeClr val="lt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lt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28800" cy="59436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59436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28800" cy="594360"/>
    <xdr:pic>
      <xdr:nvPicPr>
        <xdr:cNvPr id="2" name="image2.png">
          <a:extLst>
            <a:ext uri="{FF2B5EF4-FFF2-40B4-BE49-F238E27FC236}">
              <a16:creationId xmlns:a16="http://schemas.microsoft.com/office/drawing/2014/main" id="{78662C10-C438-4EAF-BD0D-73A2D8CB72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59436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28800" cy="59436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59436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80908</xdr:colOff>
      <xdr:row>50</xdr:row>
      <xdr:rowOff>137327</xdr:rowOff>
    </xdr:from>
    <xdr:ext cx="5486400" cy="3657600"/>
    <xdr:graphicFrame macro="">
      <xdr:nvGraphicFramePr>
        <xdr:cNvPr id="6" name="Chart 5" title="Biểu đồ">
          <a:extLst>
            <a:ext uri="{FF2B5EF4-FFF2-40B4-BE49-F238E27FC236}">
              <a16:creationId xmlns:a16="http://schemas.microsoft.com/office/drawing/2014/main" id="{57A7993A-5B4E-4A0C-9510-B2BB604D0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198034</xdr:colOff>
      <xdr:row>50</xdr:row>
      <xdr:rowOff>133246</xdr:rowOff>
    </xdr:from>
    <xdr:ext cx="5486400" cy="3657600"/>
    <xdr:graphicFrame macro="">
      <xdr:nvGraphicFramePr>
        <xdr:cNvPr id="7" name="Chart 6" title="Biểu đồ">
          <a:extLst>
            <a:ext uri="{FF2B5EF4-FFF2-40B4-BE49-F238E27FC236}">
              <a16:creationId xmlns:a16="http://schemas.microsoft.com/office/drawing/2014/main" id="{CD097F70-3731-4B82-A1C6-2E69ECE69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28800" cy="59436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59436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86</xdr:row>
      <xdr:rowOff>1</xdr:rowOff>
    </xdr:from>
    <xdr:to>
      <xdr:col>14</xdr:col>
      <xdr:colOff>51955</xdr:colOff>
      <xdr:row>110</xdr:row>
      <xdr:rowOff>176895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454B6-936F-24CF-EA81-AEEF57CE2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86</xdr:row>
      <xdr:rowOff>40821</xdr:rowOff>
    </xdr:from>
    <xdr:to>
      <xdr:col>41</xdr:col>
      <xdr:colOff>693965</xdr:colOff>
      <xdr:row>110</xdr:row>
      <xdr:rowOff>163286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A673DF-E909-44D2-5EC7-EB362B40F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828800" cy="59436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8100"/>
          <a:ext cx="1828800" cy="594360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515469</xdr:colOff>
      <xdr:row>79</xdr:row>
      <xdr:rowOff>134471</xdr:rowOff>
    </xdr:from>
    <xdr:to>
      <xdr:col>9</xdr:col>
      <xdr:colOff>370689</xdr:colOff>
      <xdr:row>99</xdr:row>
      <xdr:rowOff>173916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DC8304-F55E-1EE0-C898-E1EBD7385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228116</xdr:colOff>
      <xdr:row>79</xdr:row>
      <xdr:rowOff>136870</xdr:rowOff>
    </xdr:from>
    <xdr:to>
      <xdr:col>36</xdr:col>
      <xdr:colOff>116954</xdr:colOff>
      <xdr:row>99</xdr:row>
      <xdr:rowOff>176315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54849C-BD15-58ED-F3B8-66546437D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28800" cy="59436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28800" cy="59436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112938</xdr:rowOff>
    </xdr:from>
    <xdr:ext cx="8046720" cy="4297680"/>
    <xdr:graphicFrame macro="">
      <xdr:nvGraphicFramePr>
        <xdr:cNvPr id="7" name="Chart 5" title="Biểu đồ">
          <a:extLst>
            <a:ext uri="{FF2B5EF4-FFF2-40B4-BE49-F238E27FC236}">
              <a16:creationId xmlns:a16="http://schemas.microsoft.com/office/drawing/2014/main" id="{011282E2-E868-47D4-AD3F-C926AE819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201147</xdr:colOff>
      <xdr:row>53</xdr:row>
      <xdr:rowOff>118915</xdr:rowOff>
    </xdr:from>
    <xdr:ext cx="8046720" cy="4297680"/>
    <xdr:graphicFrame macro="">
      <xdr:nvGraphicFramePr>
        <xdr:cNvPr id="8" name="Chart 6" title="Biểu đồ">
          <a:extLst>
            <a:ext uri="{FF2B5EF4-FFF2-40B4-BE49-F238E27FC236}">
              <a16:creationId xmlns:a16="http://schemas.microsoft.com/office/drawing/2014/main" id="{7A1B362E-CA8A-4C68-A896-7F55FD6A31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5E0B3"/>
  </sheetPr>
  <dimension ref="A1:Z998"/>
  <sheetViews>
    <sheetView showGridLines="0" zoomScaleNormal="100" workbookViewId="0">
      <selection activeCell="F41" sqref="F41"/>
    </sheetView>
  </sheetViews>
  <sheetFormatPr defaultColWidth="14.42578125" defaultRowHeight="15" customHeight="1" x14ac:dyDescent="0.2"/>
  <cols>
    <col min="1" max="1" width="5" customWidth="1"/>
    <col min="2" max="2" width="15" customWidth="1"/>
    <col min="3" max="3" width="36.85546875" bestFit="1" customWidth="1"/>
    <col min="4" max="4" width="15.5703125" customWidth="1"/>
    <col min="5" max="5" width="17.28515625" customWidth="1"/>
    <col min="6" max="6" width="26.42578125" customWidth="1"/>
    <col min="7" max="7" width="35" customWidth="1"/>
    <col min="8" max="9" width="8.7109375" customWidth="1"/>
    <col min="10" max="11" width="12.85546875" bestFit="1" customWidth="1"/>
    <col min="12" max="12" width="13.7109375" customWidth="1"/>
    <col min="13" max="14" width="12.5703125" customWidth="1"/>
    <col min="15" max="15" width="14.140625" customWidth="1"/>
    <col min="16" max="26" width="8.7109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5">
      <c r="A5" s="161" t="s">
        <v>0</v>
      </c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5">
      <c r="B6" s="1"/>
      <c r="C6" s="1"/>
      <c r="D6" s="1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5">
      <c r="A7" s="1"/>
      <c r="B7" s="84" t="s">
        <v>1</v>
      </c>
      <c r="C7" s="81" t="s">
        <v>178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84" t="s">
        <v>2</v>
      </c>
      <c r="C8" s="85" t="s"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1"/>
      <c r="C9" s="1"/>
      <c r="D9" s="1"/>
      <c r="E9" s="19" t="s">
        <v>107</v>
      </c>
      <c r="F9" s="20" t="s">
        <v>108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82" t="s">
        <v>4</v>
      </c>
      <c r="D10" s="1"/>
      <c r="E10" s="21" t="s">
        <v>109</v>
      </c>
      <c r="F10" s="1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"/>
      <c r="B11" s="83" t="s">
        <v>5</v>
      </c>
      <c r="C11" s="81" t="s">
        <v>105</v>
      </c>
      <c r="D11" s="1"/>
      <c r="E11" s="22"/>
      <c r="F11" s="1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83" t="s">
        <v>6</v>
      </c>
      <c r="C12" s="81" t="s">
        <v>180</v>
      </c>
      <c r="D12" s="1"/>
      <c r="E12" s="22"/>
      <c r="F12" s="1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23"/>
      <c r="C13" s="81" t="s">
        <v>179</v>
      </c>
      <c r="D13" s="1"/>
      <c r="E13" s="22"/>
      <c r="F13" s="2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80"/>
      <c r="C14" s="17" t="s">
        <v>106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"/>
      <c r="C15" s="17" t="s">
        <v>193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1"/>
      <c r="C16" s="3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"/>
      <c r="C17" s="3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5">
      <c r="A18" s="1"/>
      <c r="B18" s="4" t="s">
        <v>7</v>
      </c>
      <c r="C18" s="1"/>
      <c r="D18" s="1"/>
      <c r="E18" s="1"/>
      <c r="F18" s="1"/>
      <c r="G18" s="1"/>
      <c r="H18" s="1"/>
      <c r="I18" s="4" t="s">
        <v>8</v>
      </c>
      <c r="J18" s="1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6" t="s">
        <v>9</v>
      </c>
      <c r="C19" s="6" t="s">
        <v>185</v>
      </c>
      <c r="D19" s="6" t="s">
        <v>11</v>
      </c>
      <c r="E19" s="6" t="s">
        <v>12</v>
      </c>
      <c r="F19" s="6" t="s">
        <v>13</v>
      </c>
      <c r="G19" s="6" t="s">
        <v>14</v>
      </c>
      <c r="H19" s="7"/>
      <c r="I19" s="8" t="s">
        <v>15</v>
      </c>
      <c r="J19" s="8" t="s">
        <v>11</v>
      </c>
      <c r="K19" s="8" t="s">
        <v>12</v>
      </c>
      <c r="L19" s="8" t="s">
        <v>13</v>
      </c>
      <c r="M19" s="8" t="s">
        <v>16</v>
      </c>
      <c r="N19" s="8" t="s">
        <v>17</v>
      </c>
      <c r="O19" s="8" t="s">
        <v>14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10">
        <v>1</v>
      </c>
      <c r="C20" s="3" t="s">
        <v>185</v>
      </c>
      <c r="D20" s="31" t="s">
        <v>188</v>
      </c>
      <c r="E20" s="33" t="s">
        <v>189</v>
      </c>
      <c r="F20" s="10" t="s">
        <v>18</v>
      </c>
      <c r="G20" s="11"/>
      <c r="H20" s="1"/>
      <c r="I20" s="10">
        <v>1</v>
      </c>
      <c r="J20" s="9" t="s">
        <v>192</v>
      </c>
      <c r="K20" s="9" t="s">
        <v>247</v>
      </c>
      <c r="L20" s="10" t="s">
        <v>19</v>
      </c>
      <c r="M20" s="10"/>
      <c r="N20" s="10"/>
      <c r="O20" s="10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3"/>
      <c r="B21" s="10">
        <v>2</v>
      </c>
      <c r="C21" s="3" t="s">
        <v>20</v>
      </c>
      <c r="D21" s="34" t="s">
        <v>192</v>
      </c>
      <c r="E21" s="32" t="s">
        <v>247</v>
      </c>
      <c r="F21" s="10" t="s">
        <v>18</v>
      </c>
      <c r="G21" s="11"/>
      <c r="H21" s="1"/>
      <c r="I21" s="10">
        <v>2</v>
      </c>
      <c r="J21" s="9" t="s">
        <v>248</v>
      </c>
      <c r="K21" s="9" t="s">
        <v>249</v>
      </c>
      <c r="L21" s="10" t="s">
        <v>19</v>
      </c>
      <c r="M21" s="10"/>
      <c r="N21" s="10"/>
      <c r="O21" s="10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">
      <c r="A22" s="1"/>
      <c r="B22" s="10">
        <v>3</v>
      </c>
      <c r="C22" s="3" t="s">
        <v>21</v>
      </c>
      <c r="D22" s="32" t="s">
        <v>248</v>
      </c>
      <c r="E22" s="32" t="s">
        <v>249</v>
      </c>
      <c r="F22" s="10" t="s">
        <v>18</v>
      </c>
      <c r="G22" s="11"/>
      <c r="H22" s="1"/>
      <c r="I22" s="10">
        <v>3</v>
      </c>
      <c r="J22" s="9" t="s">
        <v>250</v>
      </c>
      <c r="K22" s="9" t="s">
        <v>251</v>
      </c>
      <c r="L22" s="10" t="s">
        <v>19</v>
      </c>
      <c r="M22" s="10"/>
      <c r="N22" s="10"/>
      <c r="O22" s="1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0">
        <v>4</v>
      </c>
      <c r="C23" s="3" t="s">
        <v>22</v>
      </c>
      <c r="D23" s="14" t="s">
        <v>250</v>
      </c>
      <c r="E23" s="32" t="s">
        <v>251</v>
      </c>
      <c r="F23" s="10" t="s">
        <v>18</v>
      </c>
      <c r="G23" s="11"/>
      <c r="H23" s="1"/>
      <c r="I23" s="10">
        <v>4</v>
      </c>
      <c r="J23" s="9" t="s">
        <v>252</v>
      </c>
      <c r="K23" s="9" t="s">
        <v>253</v>
      </c>
      <c r="L23" s="10" t="s">
        <v>19</v>
      </c>
      <c r="M23" s="10"/>
      <c r="N23" s="10"/>
      <c r="O23" s="10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0">
        <v>5</v>
      </c>
      <c r="C24" s="16" t="s">
        <v>23</v>
      </c>
      <c r="D24" s="32" t="s">
        <v>252</v>
      </c>
      <c r="E24" s="32" t="s">
        <v>253</v>
      </c>
      <c r="F24" s="10" t="s">
        <v>18</v>
      </c>
      <c r="G24" s="11"/>
      <c r="H24" s="1"/>
      <c r="I24" s="12"/>
      <c r="J24" s="9"/>
      <c r="K24" s="9"/>
      <c r="L24" s="10"/>
      <c r="M24" s="10"/>
      <c r="N24" s="10"/>
      <c r="O24" s="10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0">
        <v>6</v>
      </c>
      <c r="C25" s="16" t="s">
        <v>24</v>
      </c>
      <c r="D25" s="32" t="s">
        <v>191</v>
      </c>
      <c r="E25" s="32" t="s">
        <v>190</v>
      </c>
      <c r="F25" s="10" t="s">
        <v>18</v>
      </c>
      <c r="G25" s="11"/>
      <c r="H25" s="1"/>
      <c r="I25" s="3"/>
      <c r="J25" s="9"/>
      <c r="K25" s="9"/>
      <c r="L25" s="10"/>
      <c r="M25" s="10"/>
      <c r="N25" s="10"/>
      <c r="O25" s="1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0">
        <v>7</v>
      </c>
      <c r="C26" s="16" t="s">
        <v>25</v>
      </c>
      <c r="D26" s="32" t="s">
        <v>187</v>
      </c>
      <c r="E26" s="32" t="s">
        <v>186</v>
      </c>
      <c r="F26" s="10"/>
      <c r="G26" s="11"/>
      <c r="H26" s="1"/>
      <c r="I26" s="3"/>
      <c r="J26" s="9"/>
      <c r="K26" s="9"/>
      <c r="L26" s="10"/>
      <c r="M26" s="10"/>
      <c r="N26" s="10"/>
      <c r="O26" s="10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3"/>
      <c r="C27" s="3"/>
      <c r="D27" s="10"/>
      <c r="E27" s="10"/>
      <c r="F27" s="10"/>
      <c r="G27" s="11"/>
      <c r="H27" s="1"/>
      <c r="I27" s="3"/>
      <c r="J27" s="9"/>
      <c r="K27" s="9"/>
      <c r="L27" s="10"/>
      <c r="M27" s="10"/>
      <c r="N27" s="10"/>
      <c r="O27" s="1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3"/>
      <c r="C28" s="3"/>
      <c r="D28" s="10"/>
      <c r="E28" s="10"/>
      <c r="F28" s="10"/>
      <c r="G28" s="11"/>
      <c r="H28" s="1"/>
      <c r="I28" s="3"/>
      <c r="J28" s="9"/>
      <c r="K28" s="9"/>
      <c r="L28" s="10"/>
      <c r="M28" s="10"/>
      <c r="N28" s="10"/>
      <c r="O28" s="1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3"/>
      <c r="C29" s="3"/>
      <c r="D29" s="10"/>
      <c r="E29" s="10"/>
      <c r="F29" s="10"/>
      <c r="G29" s="11"/>
      <c r="H29" s="1"/>
      <c r="I29" s="3"/>
      <c r="J29" s="9"/>
      <c r="K29" s="9"/>
      <c r="L29" s="10"/>
      <c r="M29" s="10"/>
      <c r="N29" s="10"/>
      <c r="O29" s="10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3"/>
      <c r="C30" s="3"/>
      <c r="D30" s="10"/>
      <c r="E30" s="10"/>
      <c r="F30" s="10"/>
      <c r="G30" s="11"/>
      <c r="H30" s="1"/>
      <c r="I30" s="3"/>
      <c r="J30" s="9"/>
      <c r="K30" s="9"/>
      <c r="L30" s="10"/>
      <c r="M30" s="10"/>
      <c r="N30" s="10"/>
      <c r="O30" s="1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3"/>
      <c r="C31" s="3"/>
      <c r="D31" s="10"/>
      <c r="E31" s="10"/>
      <c r="F31" s="10"/>
      <c r="G31" s="11"/>
      <c r="H31" s="1"/>
      <c r="I31" s="3"/>
      <c r="J31" s="9"/>
      <c r="K31" s="9"/>
      <c r="L31" s="10"/>
      <c r="M31" s="10"/>
      <c r="N31" s="10"/>
      <c r="O31" s="10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3"/>
      <c r="C32" s="3"/>
      <c r="D32" s="10"/>
      <c r="E32" s="10"/>
      <c r="F32" s="10"/>
      <c r="G32" s="11"/>
      <c r="H32" s="1"/>
      <c r="I32" s="3"/>
      <c r="J32" s="9"/>
      <c r="K32" s="9"/>
      <c r="L32" s="10"/>
      <c r="M32" s="10"/>
      <c r="N32" s="10"/>
      <c r="O32" s="10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3"/>
      <c r="C33" s="3"/>
      <c r="D33" s="10"/>
      <c r="E33" s="10"/>
      <c r="F33" s="10"/>
      <c r="G33" s="11"/>
      <c r="H33" s="1"/>
      <c r="I33" s="3"/>
      <c r="J33" s="9"/>
      <c r="K33" s="9"/>
      <c r="L33" s="10"/>
      <c r="M33" s="10"/>
      <c r="N33" s="10"/>
      <c r="O33" s="10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3"/>
      <c r="C34" s="3"/>
      <c r="D34" s="3"/>
      <c r="E34" s="3"/>
      <c r="F34" s="10"/>
      <c r="G34" s="11"/>
      <c r="H34" s="1"/>
      <c r="I34" s="3"/>
      <c r="J34" s="9"/>
      <c r="K34" s="9"/>
      <c r="L34" s="10"/>
      <c r="M34" s="10"/>
      <c r="N34" s="10"/>
      <c r="O34" s="1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3"/>
      <c r="C35" s="3"/>
      <c r="D35" s="3"/>
      <c r="E35" s="3"/>
      <c r="F35" s="10"/>
      <c r="G35" s="11"/>
      <c r="H35" s="1"/>
      <c r="I35" s="3"/>
      <c r="J35" s="9"/>
      <c r="K35" s="9"/>
      <c r="L35" s="10"/>
      <c r="M35" s="10"/>
      <c r="N35" s="10"/>
      <c r="O35" s="1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x14ac:dyDescent="0.2">
      <c r="C998" s="1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B6AC-AB37-4BAC-BA0D-F97772ECF307}">
  <sheetPr>
    <tabColor theme="4" tint="0.39997558519241921"/>
  </sheetPr>
  <dimension ref="A1:AV1078"/>
  <sheetViews>
    <sheetView showGridLines="0" topLeftCell="A16" workbookViewId="0">
      <selection activeCell="Q13" sqref="Q13"/>
    </sheetView>
  </sheetViews>
  <sheetFormatPr defaultColWidth="14.42578125" defaultRowHeight="16.5" x14ac:dyDescent="0.25"/>
  <cols>
    <col min="1" max="1" width="7.28515625" style="56" bestFit="1" customWidth="1"/>
    <col min="2" max="2" width="29" style="56" bestFit="1" customWidth="1"/>
    <col min="3" max="3" width="15.140625" style="56" bestFit="1" customWidth="1"/>
    <col min="4" max="4" width="42.7109375" style="56" bestFit="1" customWidth="1"/>
    <col min="5" max="5" width="81.140625" style="56" bestFit="1" customWidth="1"/>
    <col min="6" max="6" width="51.140625" style="56" bestFit="1" customWidth="1"/>
    <col min="7" max="7" width="21.7109375" style="56" hidden="1" customWidth="1"/>
    <col min="8" max="8" width="9" style="56" bestFit="1" customWidth="1"/>
    <col min="9" max="9" width="11.28515625" style="56" hidden="1" customWidth="1"/>
    <col min="10" max="11" width="8.7109375" style="56" hidden="1" customWidth="1"/>
    <col min="12" max="12" width="11" style="56" bestFit="1" customWidth="1"/>
    <col min="13" max="13" width="9.85546875" style="56" bestFit="1" customWidth="1"/>
    <col min="14" max="14" width="14.28515625" style="56" hidden="1" customWidth="1"/>
    <col min="15" max="15" width="12" style="56" hidden="1" customWidth="1"/>
    <col min="16" max="16" width="8.7109375" style="56" hidden="1" customWidth="1"/>
    <col min="17" max="24" width="8.7109375" style="56" customWidth="1"/>
    <col min="25" max="16384" width="14.42578125" style="56"/>
  </cols>
  <sheetData>
    <row r="1" spans="1:48" customFormat="1" ht="13.5" customHeight="1" x14ac:dyDescent="0.2">
      <c r="A1" s="135"/>
      <c r="B1" s="136"/>
      <c r="C1" s="137"/>
      <c r="D1" s="135"/>
      <c r="E1" s="135"/>
      <c r="F1" s="135"/>
      <c r="G1" s="135"/>
      <c r="H1" s="139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</row>
    <row r="2" spans="1:48" customFormat="1" ht="13.5" customHeight="1" x14ac:dyDescent="0.2">
      <c r="A2" s="135"/>
      <c r="B2" s="136"/>
      <c r="C2" s="137"/>
      <c r="D2" s="135"/>
      <c r="E2" s="135"/>
      <c r="F2" s="135"/>
      <c r="G2" s="135"/>
      <c r="H2" s="135"/>
      <c r="I2" s="135"/>
      <c r="J2" s="135"/>
      <c r="K2" s="140"/>
      <c r="L2" s="141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</row>
    <row r="3" spans="1:48" customFormat="1" ht="9" customHeight="1" x14ac:dyDescent="0.2">
      <c r="A3" s="135"/>
      <c r="B3" s="136"/>
      <c r="C3" s="137"/>
      <c r="D3" s="135"/>
      <c r="E3" s="141"/>
      <c r="F3" s="135"/>
      <c r="G3" s="140"/>
      <c r="H3" s="135"/>
      <c r="I3" s="140"/>
      <c r="J3" s="139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48" customFormat="1" ht="16.5" customHeight="1" x14ac:dyDescent="0.25">
      <c r="A4" s="56"/>
      <c r="B4" s="143"/>
      <c r="C4" s="135"/>
      <c r="D4" s="135"/>
      <c r="E4" s="135"/>
      <c r="F4" s="141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48" customFormat="1" x14ac:dyDescent="0.25">
      <c r="A5" s="162" t="s">
        <v>26</v>
      </c>
      <c r="B5" s="74"/>
      <c r="C5" s="135"/>
      <c r="D5" s="135"/>
      <c r="E5" s="135"/>
      <c r="F5" s="141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48" customFormat="1" x14ac:dyDescent="0.25">
      <c r="A6" s="74"/>
      <c r="B6" s="74"/>
      <c r="C6" s="135"/>
      <c r="D6" s="135"/>
      <c r="E6" s="135"/>
      <c r="F6" s="141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</row>
    <row r="7" spans="1:48" customFormat="1" ht="33" x14ac:dyDescent="0.25">
      <c r="A7" s="124" t="s">
        <v>9</v>
      </c>
      <c r="B7" s="124" t="s">
        <v>278</v>
      </c>
      <c r="C7" s="124" t="s">
        <v>279</v>
      </c>
      <c r="D7" s="124" t="s">
        <v>280</v>
      </c>
      <c r="E7" s="124" t="s">
        <v>281</v>
      </c>
      <c r="F7" s="144" t="s">
        <v>282</v>
      </c>
      <c r="G7" s="148"/>
      <c r="H7" s="124" t="s">
        <v>283</v>
      </c>
      <c r="I7" s="148"/>
      <c r="J7" s="149"/>
      <c r="K7" s="149"/>
      <c r="L7" s="145" t="s">
        <v>284</v>
      </c>
      <c r="M7" s="90" t="s">
        <v>285</v>
      </c>
      <c r="N7" s="74"/>
      <c r="O7" s="74"/>
      <c r="P7" s="135"/>
      <c r="Q7" s="135"/>
      <c r="R7" s="135"/>
      <c r="S7" s="141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  <c r="AM7" s="135"/>
      <c r="AN7" s="135"/>
      <c r="AO7" s="135"/>
      <c r="AP7" s="135"/>
      <c r="AQ7" s="135"/>
      <c r="AR7" s="135"/>
      <c r="AS7" s="135"/>
      <c r="AT7" s="135"/>
      <c r="AU7" s="135"/>
      <c r="AV7" s="135"/>
    </row>
    <row r="8" spans="1:48" customFormat="1" ht="82.5" x14ac:dyDescent="0.25">
      <c r="A8" s="65" t="s">
        <v>28</v>
      </c>
      <c r="B8" s="65" t="s">
        <v>286</v>
      </c>
      <c r="C8" s="65" t="s">
        <v>110</v>
      </c>
      <c r="D8" s="65" t="s">
        <v>287</v>
      </c>
      <c r="E8" s="65" t="s">
        <v>288</v>
      </c>
      <c r="F8" s="150" t="s">
        <v>289</v>
      </c>
      <c r="G8" s="151"/>
      <c r="H8" s="152">
        <v>5</v>
      </c>
      <c r="I8" s="153"/>
      <c r="J8" s="153"/>
      <c r="K8" s="153"/>
      <c r="L8" s="152">
        <v>1</v>
      </c>
      <c r="M8" s="152">
        <v>40</v>
      </c>
      <c r="N8" s="74"/>
      <c r="O8" s="74"/>
      <c r="P8" s="135"/>
      <c r="Q8" s="135"/>
      <c r="R8" s="135"/>
      <c r="S8" s="141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</row>
    <row r="9" spans="1:48" customFormat="1" ht="66" x14ac:dyDescent="0.25">
      <c r="A9" s="29" t="s">
        <v>29</v>
      </c>
      <c r="B9" s="29" t="s">
        <v>111</v>
      </c>
      <c r="C9" s="29" t="s">
        <v>110</v>
      </c>
      <c r="D9" s="29" t="s">
        <v>112</v>
      </c>
      <c r="E9" s="29" t="s">
        <v>290</v>
      </c>
      <c r="F9" s="154" t="s">
        <v>291</v>
      </c>
      <c r="G9" s="155"/>
      <c r="H9" s="30">
        <v>5</v>
      </c>
      <c r="I9" s="156"/>
      <c r="J9" s="156"/>
      <c r="K9" s="156"/>
      <c r="L9" s="30">
        <v>1</v>
      </c>
      <c r="M9" s="30">
        <v>35</v>
      </c>
      <c r="N9" s="74"/>
      <c r="O9" s="74"/>
      <c r="P9" s="135"/>
      <c r="Q9" s="135"/>
      <c r="R9" s="135"/>
      <c r="S9" s="141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</row>
    <row r="10" spans="1:48" customFormat="1" ht="33" x14ac:dyDescent="0.25">
      <c r="A10" s="29" t="s">
        <v>30</v>
      </c>
      <c r="B10" s="29" t="s">
        <v>292</v>
      </c>
      <c r="C10" s="29" t="s">
        <v>110</v>
      </c>
      <c r="D10" s="29" t="s">
        <v>293</v>
      </c>
      <c r="E10" s="29" t="s">
        <v>294</v>
      </c>
      <c r="F10" s="154" t="s">
        <v>295</v>
      </c>
      <c r="G10" s="155"/>
      <c r="H10" s="30">
        <v>5</v>
      </c>
      <c r="I10" s="156"/>
      <c r="J10" s="156"/>
      <c r="K10" s="156"/>
      <c r="L10" s="30">
        <v>1</v>
      </c>
      <c r="M10" s="30">
        <v>30</v>
      </c>
      <c r="N10" s="74"/>
      <c r="O10" s="74"/>
      <c r="P10" s="135"/>
      <c r="Q10" s="135"/>
      <c r="R10" s="135"/>
      <c r="S10" s="141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</row>
    <row r="11" spans="1:48" customFormat="1" ht="49.5" x14ac:dyDescent="0.2">
      <c r="A11" s="29" t="s">
        <v>31</v>
      </c>
      <c r="B11" s="29" t="s">
        <v>57</v>
      </c>
      <c r="C11" s="29" t="s">
        <v>110</v>
      </c>
      <c r="D11" s="29" t="s">
        <v>113</v>
      </c>
      <c r="E11" s="29" t="s">
        <v>114</v>
      </c>
      <c r="F11" s="154" t="s">
        <v>115</v>
      </c>
      <c r="G11" s="155"/>
      <c r="H11" s="30">
        <v>5</v>
      </c>
      <c r="I11" s="156"/>
      <c r="J11" s="156"/>
      <c r="K11" s="156"/>
      <c r="L11" s="30">
        <v>2</v>
      </c>
      <c r="M11" s="30">
        <v>35</v>
      </c>
      <c r="N11" s="135"/>
      <c r="O11" s="138"/>
      <c r="P11" s="137"/>
      <c r="Q11" s="135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35"/>
      <c r="AJ11" s="135"/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35"/>
    </row>
    <row r="12" spans="1:48" ht="66" x14ac:dyDescent="0.25">
      <c r="A12" s="29" t="s">
        <v>32</v>
      </c>
      <c r="B12" s="29" t="s">
        <v>116</v>
      </c>
      <c r="C12" s="29" t="s">
        <v>110</v>
      </c>
      <c r="D12" s="29" t="s">
        <v>117</v>
      </c>
      <c r="E12" s="29" t="s">
        <v>118</v>
      </c>
      <c r="F12" s="157" t="s">
        <v>119</v>
      </c>
      <c r="G12" s="29"/>
      <c r="H12" s="30">
        <v>5</v>
      </c>
      <c r="I12" s="30"/>
      <c r="J12" s="30"/>
      <c r="K12" s="30"/>
      <c r="L12" s="30">
        <v>2</v>
      </c>
      <c r="M12" s="30">
        <v>35</v>
      </c>
      <c r="N12" s="146"/>
      <c r="O12" s="28"/>
      <c r="P12" s="13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</row>
    <row r="13" spans="1:48" ht="49.5" x14ac:dyDescent="0.25">
      <c r="A13" s="29" t="s">
        <v>33</v>
      </c>
      <c r="B13" s="25" t="s">
        <v>120</v>
      </c>
      <c r="C13" s="25" t="s">
        <v>110</v>
      </c>
      <c r="D13" s="25" t="s">
        <v>241</v>
      </c>
      <c r="E13" s="25" t="s">
        <v>121</v>
      </c>
      <c r="F13" s="26" t="s">
        <v>122</v>
      </c>
      <c r="G13" s="29"/>
      <c r="H13" s="30">
        <v>4</v>
      </c>
      <c r="I13" s="30"/>
      <c r="J13" s="30"/>
      <c r="K13" s="30"/>
      <c r="L13" s="30">
        <v>2</v>
      </c>
      <c r="M13" s="30">
        <v>25</v>
      </c>
      <c r="N13" s="73"/>
      <c r="O13" s="24"/>
      <c r="P13" s="24"/>
    </row>
    <row r="14" spans="1:48" ht="49.5" x14ac:dyDescent="0.25">
      <c r="A14" s="29" t="s">
        <v>34</v>
      </c>
      <c r="B14" s="25" t="s">
        <v>123</v>
      </c>
      <c r="C14" s="25" t="s">
        <v>110</v>
      </c>
      <c r="D14" s="25" t="s">
        <v>242</v>
      </c>
      <c r="E14" s="27" t="s">
        <v>124</v>
      </c>
      <c r="F14" s="26" t="s">
        <v>125</v>
      </c>
      <c r="G14" s="29"/>
      <c r="H14" s="30">
        <v>4</v>
      </c>
      <c r="I14" s="29"/>
      <c r="J14" s="29"/>
      <c r="K14" s="29"/>
      <c r="L14" s="30">
        <v>2</v>
      </c>
      <c r="M14" s="30">
        <v>30</v>
      </c>
      <c r="N14" s="73"/>
      <c r="O14" s="24"/>
      <c r="P14" s="24"/>
    </row>
    <row r="15" spans="1:48" ht="49.5" x14ac:dyDescent="0.25">
      <c r="A15" s="29" t="s">
        <v>35</v>
      </c>
      <c r="B15" s="25" t="s">
        <v>126</v>
      </c>
      <c r="C15" s="25" t="s">
        <v>110</v>
      </c>
      <c r="D15" s="27" t="s">
        <v>240</v>
      </c>
      <c r="E15" s="27" t="s">
        <v>127</v>
      </c>
      <c r="F15" s="26" t="s">
        <v>128</v>
      </c>
      <c r="G15" s="29"/>
      <c r="H15" s="30">
        <v>5</v>
      </c>
      <c r="I15" s="30"/>
      <c r="J15" s="30"/>
      <c r="K15" s="30"/>
      <c r="L15" s="30">
        <v>3</v>
      </c>
      <c r="M15" s="30">
        <v>30</v>
      </c>
      <c r="N15" s="73"/>
      <c r="O15" s="24"/>
      <c r="P15" s="24"/>
    </row>
    <row r="16" spans="1:48" ht="49.5" x14ac:dyDescent="0.25">
      <c r="A16" s="29" t="s">
        <v>36</v>
      </c>
      <c r="B16" s="25" t="s">
        <v>129</v>
      </c>
      <c r="C16" s="25" t="s">
        <v>110</v>
      </c>
      <c r="D16" s="27" t="s">
        <v>246</v>
      </c>
      <c r="E16" s="27" t="s">
        <v>130</v>
      </c>
      <c r="F16" s="26" t="s">
        <v>131</v>
      </c>
      <c r="G16" s="29"/>
      <c r="H16" s="30">
        <v>3</v>
      </c>
      <c r="I16" s="30"/>
      <c r="J16" s="30"/>
      <c r="K16" s="30"/>
      <c r="L16" s="30">
        <v>4</v>
      </c>
      <c r="M16" s="30">
        <v>25</v>
      </c>
      <c r="N16" s="73"/>
      <c r="O16" s="24"/>
      <c r="P16" s="24"/>
    </row>
    <row r="17" spans="1:16" ht="49.5" x14ac:dyDescent="0.25">
      <c r="A17" s="29" t="s">
        <v>37</v>
      </c>
      <c r="B17" s="25" t="s">
        <v>132</v>
      </c>
      <c r="C17" s="25" t="s">
        <v>110</v>
      </c>
      <c r="D17" s="27" t="s">
        <v>133</v>
      </c>
      <c r="E17" s="27" t="s">
        <v>134</v>
      </c>
      <c r="F17" s="26" t="s">
        <v>135</v>
      </c>
      <c r="G17" s="29"/>
      <c r="H17" s="30">
        <v>4</v>
      </c>
      <c r="I17" s="30"/>
      <c r="J17" s="30"/>
      <c r="K17" s="30"/>
      <c r="L17" s="30">
        <v>3</v>
      </c>
      <c r="M17" s="30">
        <v>35</v>
      </c>
      <c r="N17" s="73"/>
      <c r="O17" s="24"/>
      <c r="P17" s="24"/>
    </row>
    <row r="18" spans="1:16" ht="49.5" x14ac:dyDescent="0.25">
      <c r="A18" s="29" t="s">
        <v>38</v>
      </c>
      <c r="B18" s="25" t="s">
        <v>136</v>
      </c>
      <c r="C18" s="25" t="s">
        <v>110</v>
      </c>
      <c r="D18" s="27" t="s">
        <v>137</v>
      </c>
      <c r="E18" s="25" t="s">
        <v>138</v>
      </c>
      <c r="F18" s="26" t="s">
        <v>139</v>
      </c>
      <c r="G18" s="29"/>
      <c r="H18" s="30">
        <v>3</v>
      </c>
      <c r="I18" s="30"/>
      <c r="J18" s="30"/>
      <c r="K18" s="30"/>
      <c r="L18" s="30">
        <v>4</v>
      </c>
      <c r="M18" s="30">
        <v>30</v>
      </c>
      <c r="N18" s="73"/>
      <c r="O18" s="24"/>
      <c r="P18" s="24"/>
    </row>
    <row r="19" spans="1:16" ht="49.5" x14ac:dyDescent="0.25">
      <c r="A19" s="29" t="s">
        <v>39</v>
      </c>
      <c r="B19" s="25" t="s">
        <v>140</v>
      </c>
      <c r="C19" s="25" t="s">
        <v>110</v>
      </c>
      <c r="D19" s="27" t="s">
        <v>133</v>
      </c>
      <c r="E19" s="25" t="s">
        <v>141</v>
      </c>
      <c r="F19" s="26" t="s">
        <v>142</v>
      </c>
      <c r="G19" s="29"/>
      <c r="H19" s="30">
        <v>3</v>
      </c>
      <c r="I19" s="30"/>
      <c r="J19" s="30"/>
      <c r="K19" s="30"/>
      <c r="L19" s="30">
        <v>4</v>
      </c>
      <c r="M19" s="30">
        <v>30</v>
      </c>
      <c r="N19" s="73"/>
      <c r="O19" s="24"/>
      <c r="P19" s="24"/>
    </row>
    <row r="20" spans="1:16" ht="148.5" x14ac:dyDescent="0.25">
      <c r="A20" s="29" t="s">
        <v>40</v>
      </c>
      <c r="B20" s="25" t="s">
        <v>143</v>
      </c>
      <c r="C20" s="25" t="s">
        <v>110</v>
      </c>
      <c r="D20" s="27" t="s">
        <v>144</v>
      </c>
      <c r="E20" s="25" t="s">
        <v>145</v>
      </c>
      <c r="F20" s="26" t="s">
        <v>146</v>
      </c>
      <c r="G20" s="29"/>
      <c r="H20" s="30">
        <v>5</v>
      </c>
      <c r="I20" s="30"/>
      <c r="J20" s="30"/>
      <c r="K20" s="30"/>
      <c r="L20" s="30">
        <v>3</v>
      </c>
      <c r="M20" s="30">
        <v>40</v>
      </c>
      <c r="N20" s="73"/>
      <c r="O20" s="24"/>
      <c r="P20" s="24"/>
    </row>
    <row r="21" spans="1:16" ht="33" x14ac:dyDescent="0.25">
      <c r="A21" s="29" t="s">
        <v>41</v>
      </c>
      <c r="B21" s="25" t="s">
        <v>147</v>
      </c>
      <c r="C21" s="25" t="s">
        <v>110</v>
      </c>
      <c r="D21" s="27" t="s">
        <v>239</v>
      </c>
      <c r="E21" s="25" t="s">
        <v>148</v>
      </c>
      <c r="F21" s="26" t="s">
        <v>149</v>
      </c>
      <c r="G21" s="29"/>
      <c r="H21" s="30">
        <v>5</v>
      </c>
      <c r="I21" s="29"/>
      <c r="J21" s="29"/>
      <c r="K21" s="29"/>
      <c r="L21" s="30">
        <v>3</v>
      </c>
      <c r="M21" s="30">
        <v>40</v>
      </c>
      <c r="N21" s="73"/>
      <c r="O21" s="24"/>
      <c r="P21" s="24"/>
    </row>
    <row r="22" spans="1:16" ht="66" x14ac:dyDescent="0.25">
      <c r="A22" s="29" t="s">
        <v>42</v>
      </c>
      <c r="B22" s="29" t="s">
        <v>150</v>
      </c>
      <c r="C22" s="25" t="s">
        <v>110</v>
      </c>
      <c r="D22" s="27" t="s">
        <v>151</v>
      </c>
      <c r="E22" s="65" t="s">
        <v>152</v>
      </c>
      <c r="F22" s="157" t="s">
        <v>153</v>
      </c>
      <c r="G22" s="29"/>
      <c r="H22" s="30">
        <v>5</v>
      </c>
      <c r="I22" s="30"/>
      <c r="J22" s="30"/>
      <c r="K22" s="30"/>
      <c r="L22" s="30">
        <v>2</v>
      </c>
      <c r="M22" s="30">
        <v>40</v>
      </c>
      <c r="N22" s="73"/>
      <c r="O22" s="24"/>
      <c r="P22" s="24"/>
    </row>
    <row r="23" spans="1:16" ht="49.5" x14ac:dyDescent="0.25">
      <c r="A23" s="29" t="s">
        <v>43</v>
      </c>
      <c r="B23" s="29" t="s">
        <v>154</v>
      </c>
      <c r="C23" s="25" t="s">
        <v>110</v>
      </c>
      <c r="D23" s="27" t="s">
        <v>155</v>
      </c>
      <c r="E23" s="65" t="s">
        <v>156</v>
      </c>
      <c r="F23" s="157" t="s">
        <v>157</v>
      </c>
      <c r="G23" s="29"/>
      <c r="H23" s="30">
        <v>4</v>
      </c>
      <c r="I23" s="30"/>
      <c r="J23" s="30"/>
      <c r="K23" s="30"/>
      <c r="L23" s="30">
        <v>3</v>
      </c>
      <c r="M23" s="30">
        <v>40</v>
      </c>
      <c r="N23" s="73"/>
      <c r="O23" s="24"/>
      <c r="P23" s="24"/>
    </row>
    <row r="24" spans="1:16" ht="66" x14ac:dyDescent="0.25">
      <c r="A24" s="29" t="s">
        <v>44</v>
      </c>
      <c r="B24" s="29" t="s">
        <v>111</v>
      </c>
      <c r="C24" s="29" t="s">
        <v>158</v>
      </c>
      <c r="D24" s="29" t="s">
        <v>112</v>
      </c>
      <c r="E24" s="29" t="s">
        <v>159</v>
      </c>
      <c r="F24" s="157" t="s">
        <v>160</v>
      </c>
      <c r="G24" s="29"/>
      <c r="H24" s="30">
        <v>5</v>
      </c>
      <c r="I24" s="30"/>
      <c r="J24" s="30"/>
      <c r="K24" s="30"/>
      <c r="L24" s="30">
        <v>1</v>
      </c>
      <c r="M24" s="30">
        <v>30</v>
      </c>
      <c r="N24" s="73"/>
      <c r="O24" s="24"/>
      <c r="P24" s="24"/>
    </row>
    <row r="25" spans="1:16" ht="49.5" x14ac:dyDescent="0.25">
      <c r="A25" s="29" t="s">
        <v>45</v>
      </c>
      <c r="B25" s="29" t="s">
        <v>57</v>
      </c>
      <c r="C25" s="29" t="s">
        <v>158</v>
      </c>
      <c r="D25" s="29" t="s">
        <v>113</v>
      </c>
      <c r="E25" s="29" t="s">
        <v>114</v>
      </c>
      <c r="F25" s="154" t="s">
        <v>115</v>
      </c>
      <c r="G25" s="29"/>
      <c r="H25" s="30">
        <v>5</v>
      </c>
      <c r="I25" s="30"/>
      <c r="J25" s="30"/>
      <c r="K25" s="30"/>
      <c r="L25" s="30">
        <v>2</v>
      </c>
      <c r="M25" s="30">
        <v>30</v>
      </c>
      <c r="N25" s="73"/>
      <c r="O25" s="24"/>
      <c r="P25" s="24"/>
    </row>
    <row r="26" spans="1:16" ht="49.5" x14ac:dyDescent="0.25">
      <c r="A26" s="29" t="s">
        <v>46</v>
      </c>
      <c r="B26" s="25" t="s">
        <v>116</v>
      </c>
      <c r="C26" s="25" t="s">
        <v>158</v>
      </c>
      <c r="D26" s="25" t="s">
        <v>117</v>
      </c>
      <c r="E26" s="25" t="s">
        <v>118</v>
      </c>
      <c r="F26" s="26" t="s">
        <v>161</v>
      </c>
      <c r="G26" s="29"/>
      <c r="H26" s="30">
        <v>5</v>
      </c>
      <c r="I26" s="30"/>
      <c r="J26" s="30"/>
      <c r="K26" s="30"/>
      <c r="L26" s="30">
        <v>2</v>
      </c>
      <c r="M26" s="30">
        <v>30</v>
      </c>
      <c r="N26" s="73"/>
      <c r="O26" s="24"/>
      <c r="P26" s="24"/>
    </row>
    <row r="27" spans="1:16" ht="49.5" x14ac:dyDescent="0.25">
      <c r="A27" s="29" t="s">
        <v>47</v>
      </c>
      <c r="B27" s="25" t="s">
        <v>162</v>
      </c>
      <c r="C27" s="25" t="s">
        <v>158</v>
      </c>
      <c r="D27" s="25" t="s">
        <v>243</v>
      </c>
      <c r="E27" s="25" t="s">
        <v>163</v>
      </c>
      <c r="F27" s="26" t="s">
        <v>164</v>
      </c>
      <c r="G27" s="29"/>
      <c r="H27" s="30">
        <v>5</v>
      </c>
      <c r="I27" s="30"/>
      <c r="J27" s="30"/>
      <c r="K27" s="30"/>
      <c r="L27" s="30">
        <v>2</v>
      </c>
      <c r="M27" s="30">
        <v>40</v>
      </c>
      <c r="N27" s="73"/>
      <c r="O27" s="24"/>
      <c r="P27" s="24"/>
    </row>
    <row r="28" spans="1:16" ht="49.5" x14ac:dyDescent="0.25">
      <c r="A28" s="29" t="s">
        <v>48</v>
      </c>
      <c r="B28" s="25" t="s">
        <v>184</v>
      </c>
      <c r="C28" s="25" t="s">
        <v>158</v>
      </c>
      <c r="D28" s="25" t="s">
        <v>238</v>
      </c>
      <c r="E28" s="25" t="s">
        <v>165</v>
      </c>
      <c r="F28" s="26" t="s">
        <v>166</v>
      </c>
      <c r="G28" s="29"/>
      <c r="H28" s="30">
        <v>5</v>
      </c>
      <c r="I28" s="30"/>
      <c r="J28" s="30"/>
      <c r="K28" s="30"/>
      <c r="L28" s="30">
        <v>3</v>
      </c>
      <c r="M28" s="30">
        <v>30</v>
      </c>
      <c r="N28" s="73"/>
      <c r="O28" s="24"/>
      <c r="P28" s="24"/>
    </row>
    <row r="29" spans="1:16" ht="49.5" x14ac:dyDescent="0.25">
      <c r="A29" s="29" t="s">
        <v>49</v>
      </c>
      <c r="B29" s="25" t="s">
        <v>167</v>
      </c>
      <c r="C29" s="25" t="s">
        <v>158</v>
      </c>
      <c r="D29" s="25" t="s">
        <v>244</v>
      </c>
      <c r="E29" s="25" t="s">
        <v>168</v>
      </c>
      <c r="F29" s="26" t="s">
        <v>169</v>
      </c>
      <c r="G29" s="29"/>
      <c r="H29" s="30">
        <v>5</v>
      </c>
      <c r="I29" s="158"/>
      <c r="J29" s="158"/>
      <c r="K29" s="158"/>
      <c r="L29" s="30">
        <v>2</v>
      </c>
      <c r="M29" s="30">
        <v>40</v>
      </c>
      <c r="N29" s="73"/>
      <c r="O29" s="24"/>
      <c r="P29" s="24"/>
    </row>
    <row r="30" spans="1:16" ht="49.5" x14ac:dyDescent="0.25">
      <c r="A30" s="29" t="s">
        <v>50</v>
      </c>
      <c r="B30" s="25" t="s">
        <v>170</v>
      </c>
      <c r="C30" s="25" t="s">
        <v>158</v>
      </c>
      <c r="D30" s="25" t="s">
        <v>237</v>
      </c>
      <c r="E30" s="25" t="s">
        <v>171</v>
      </c>
      <c r="F30" s="26" t="s">
        <v>172</v>
      </c>
      <c r="G30" s="29"/>
      <c r="H30" s="30">
        <v>5</v>
      </c>
      <c r="I30" s="29"/>
      <c r="J30" s="29"/>
      <c r="K30" s="29"/>
      <c r="L30" s="30">
        <v>3</v>
      </c>
      <c r="M30" s="30">
        <v>45</v>
      </c>
      <c r="N30" s="73"/>
      <c r="O30" s="24"/>
      <c r="P30" s="24"/>
    </row>
    <row r="31" spans="1:16" ht="33" x14ac:dyDescent="0.25">
      <c r="A31" s="29" t="s">
        <v>51</v>
      </c>
      <c r="B31" s="25" t="s">
        <v>173</v>
      </c>
      <c r="C31" s="25" t="s">
        <v>158</v>
      </c>
      <c r="D31" s="25" t="s">
        <v>245</v>
      </c>
      <c r="E31" s="25" t="s">
        <v>174</v>
      </c>
      <c r="F31" s="26" t="s">
        <v>175</v>
      </c>
      <c r="G31" s="159"/>
      <c r="H31" s="30">
        <v>1</v>
      </c>
      <c r="I31" s="30"/>
      <c r="J31" s="30"/>
      <c r="K31" s="30"/>
      <c r="L31" s="30">
        <v>4</v>
      </c>
      <c r="M31" s="30">
        <v>20</v>
      </c>
      <c r="N31" s="147"/>
      <c r="O31" s="72"/>
      <c r="P31" s="72"/>
    </row>
    <row r="32" spans="1:16" ht="49.5" x14ac:dyDescent="0.25">
      <c r="A32" s="29" t="s">
        <v>52</v>
      </c>
      <c r="B32" s="25" t="s">
        <v>194</v>
      </c>
      <c r="C32" s="25" t="s">
        <v>176</v>
      </c>
      <c r="D32" s="25" t="s">
        <v>195</v>
      </c>
      <c r="E32" s="25" t="s">
        <v>196</v>
      </c>
      <c r="F32" s="26" t="s">
        <v>197</v>
      </c>
      <c r="G32" s="159"/>
      <c r="H32" s="30">
        <v>4</v>
      </c>
      <c r="I32" s="30"/>
      <c r="J32" s="30"/>
      <c r="K32" s="30"/>
      <c r="L32" s="30">
        <v>1</v>
      </c>
      <c r="M32" s="30">
        <v>45</v>
      </c>
      <c r="N32" s="147"/>
      <c r="O32" s="72"/>
      <c r="P32" s="72"/>
    </row>
    <row r="33" spans="1:16" ht="33" x14ac:dyDescent="0.25">
      <c r="A33" s="29" t="s">
        <v>53</v>
      </c>
      <c r="B33" s="25" t="s">
        <v>200</v>
      </c>
      <c r="C33" s="25" t="s">
        <v>176</v>
      </c>
      <c r="D33" s="25" t="s">
        <v>198</v>
      </c>
      <c r="E33" s="25" t="s">
        <v>199</v>
      </c>
      <c r="F33" s="26" t="s">
        <v>201</v>
      </c>
      <c r="G33" s="29"/>
      <c r="H33" s="30">
        <v>4</v>
      </c>
      <c r="I33" s="29"/>
      <c r="J33" s="29"/>
      <c r="K33" s="29"/>
      <c r="L33" s="30">
        <v>1</v>
      </c>
      <c r="M33" s="30">
        <v>40</v>
      </c>
      <c r="N33" s="73"/>
      <c r="O33" s="24"/>
      <c r="P33" s="24"/>
    </row>
    <row r="34" spans="1:16" ht="49.5" x14ac:dyDescent="0.25">
      <c r="A34" s="29" t="s">
        <v>54</v>
      </c>
      <c r="B34" s="25" t="s">
        <v>202</v>
      </c>
      <c r="C34" s="25" t="s">
        <v>176</v>
      </c>
      <c r="D34" s="25" t="s">
        <v>203</v>
      </c>
      <c r="E34" s="25" t="s">
        <v>204</v>
      </c>
      <c r="F34" s="26" t="s">
        <v>205</v>
      </c>
      <c r="G34" s="29"/>
      <c r="H34" s="30">
        <v>5</v>
      </c>
      <c r="I34" s="29"/>
      <c r="J34" s="29"/>
      <c r="K34" s="29"/>
      <c r="L34" s="30">
        <v>2</v>
      </c>
      <c r="M34" s="30">
        <v>60</v>
      </c>
      <c r="N34" s="73"/>
      <c r="O34" s="24"/>
      <c r="P34" s="24"/>
    </row>
    <row r="35" spans="1:16" ht="33" x14ac:dyDescent="0.25">
      <c r="A35" s="29" t="s">
        <v>55</v>
      </c>
      <c r="B35" s="25" t="s">
        <v>206</v>
      </c>
      <c r="C35" s="25" t="s">
        <v>176</v>
      </c>
      <c r="D35" s="25" t="s">
        <v>207</v>
      </c>
      <c r="E35" s="25" t="s">
        <v>208</v>
      </c>
      <c r="F35" s="26" t="s">
        <v>209</v>
      </c>
      <c r="G35" s="29"/>
      <c r="H35" s="30">
        <v>5</v>
      </c>
      <c r="I35" s="29"/>
      <c r="J35" s="29"/>
      <c r="K35" s="29"/>
      <c r="L35" s="30">
        <v>3</v>
      </c>
      <c r="M35" s="30">
        <v>70</v>
      </c>
      <c r="N35" s="73"/>
      <c r="O35" s="24"/>
      <c r="P35" s="24"/>
    </row>
    <row r="36" spans="1:16" ht="33" x14ac:dyDescent="0.25">
      <c r="A36" s="29" t="s">
        <v>210</v>
      </c>
      <c r="B36" s="25" t="s">
        <v>211</v>
      </c>
      <c r="C36" s="25" t="s">
        <v>176</v>
      </c>
      <c r="D36" s="25" t="s">
        <v>212</v>
      </c>
      <c r="E36" s="25" t="s">
        <v>213</v>
      </c>
      <c r="F36" s="26" t="s">
        <v>214</v>
      </c>
      <c r="G36" s="29"/>
      <c r="H36" s="30">
        <v>5</v>
      </c>
      <c r="I36" s="29"/>
      <c r="J36" s="29"/>
      <c r="K36" s="29"/>
      <c r="L36" s="30">
        <v>3</v>
      </c>
      <c r="M36" s="30">
        <v>80</v>
      </c>
      <c r="N36" s="73"/>
      <c r="O36" s="24"/>
      <c r="P36" s="24"/>
    </row>
    <row r="37" spans="1:16" x14ac:dyDescent="0.25">
      <c r="D37" s="70"/>
      <c r="E37" s="70"/>
      <c r="F37" s="71"/>
      <c r="G37" s="70"/>
    </row>
    <row r="38" spans="1:16" x14ac:dyDescent="0.25">
      <c r="D38" s="70"/>
      <c r="E38" s="70"/>
      <c r="F38" s="71"/>
      <c r="G38" s="70"/>
    </row>
    <row r="39" spans="1:16" x14ac:dyDescent="0.25">
      <c r="D39" s="70"/>
      <c r="E39" s="70"/>
      <c r="F39" s="71"/>
      <c r="G39" s="70"/>
    </row>
    <row r="40" spans="1:16" x14ac:dyDescent="0.25">
      <c r="D40" s="70"/>
      <c r="E40" s="70"/>
      <c r="F40" s="71"/>
      <c r="G40" s="70"/>
    </row>
    <row r="41" spans="1:16" x14ac:dyDescent="0.25">
      <c r="D41" s="70"/>
      <c r="E41" s="70"/>
      <c r="F41" s="71"/>
      <c r="G41" s="70"/>
    </row>
    <row r="42" spans="1:16" x14ac:dyDescent="0.25">
      <c r="D42" s="70"/>
      <c r="E42" s="70"/>
      <c r="F42" s="71"/>
      <c r="G42" s="70"/>
    </row>
    <row r="43" spans="1:16" x14ac:dyDescent="0.25">
      <c r="D43" s="70"/>
      <c r="E43" s="70"/>
      <c r="F43" s="71"/>
      <c r="G43" s="70"/>
    </row>
    <row r="44" spans="1:16" x14ac:dyDescent="0.25">
      <c r="D44" s="70"/>
      <c r="E44" s="70"/>
      <c r="F44" s="71"/>
      <c r="G44" s="70"/>
    </row>
    <row r="45" spans="1:16" x14ac:dyDescent="0.25">
      <c r="D45" s="70"/>
      <c r="E45" s="70"/>
      <c r="F45" s="71"/>
      <c r="G45" s="70"/>
    </row>
    <row r="46" spans="1:16" x14ac:dyDescent="0.25">
      <c r="D46" s="70"/>
      <c r="E46" s="70"/>
      <c r="F46" s="71"/>
      <c r="G46" s="70"/>
    </row>
    <row r="47" spans="1:16" x14ac:dyDescent="0.25">
      <c r="D47" s="70"/>
      <c r="E47" s="70"/>
      <c r="F47" s="71"/>
      <c r="G47" s="70"/>
    </row>
    <row r="48" spans="1:16" x14ac:dyDescent="0.25">
      <c r="D48" s="70"/>
      <c r="E48" s="70"/>
      <c r="F48" s="71"/>
      <c r="G48" s="70"/>
    </row>
    <row r="49" spans="4:7" x14ac:dyDescent="0.25">
      <c r="D49" s="70"/>
      <c r="E49" s="70"/>
      <c r="F49" s="71"/>
      <c r="G49" s="70"/>
    </row>
    <row r="50" spans="4:7" x14ac:dyDescent="0.25">
      <c r="D50" s="70"/>
      <c r="E50" s="70"/>
      <c r="F50" s="71"/>
      <c r="G50" s="70"/>
    </row>
    <row r="51" spans="4:7" x14ac:dyDescent="0.25">
      <c r="D51" s="70"/>
      <c r="E51" s="70"/>
      <c r="F51" s="71"/>
      <c r="G51" s="70"/>
    </row>
    <row r="52" spans="4:7" x14ac:dyDescent="0.25">
      <c r="D52" s="70"/>
      <c r="E52" s="70"/>
      <c r="F52" s="71"/>
      <c r="G52" s="70"/>
    </row>
    <row r="53" spans="4:7" x14ac:dyDescent="0.25">
      <c r="D53" s="70"/>
      <c r="E53" s="70"/>
      <c r="F53" s="71"/>
      <c r="G53" s="70"/>
    </row>
    <row r="54" spans="4:7" x14ac:dyDescent="0.25">
      <c r="D54" s="70"/>
      <c r="E54" s="70"/>
      <c r="F54" s="71"/>
      <c r="G54" s="70"/>
    </row>
    <row r="55" spans="4:7" x14ac:dyDescent="0.25">
      <c r="D55" s="70"/>
      <c r="E55" s="70"/>
      <c r="F55" s="71"/>
      <c r="G55" s="70"/>
    </row>
    <row r="56" spans="4:7" x14ac:dyDescent="0.25">
      <c r="D56" s="70"/>
      <c r="E56" s="70"/>
      <c r="F56" s="71"/>
      <c r="G56" s="70"/>
    </row>
    <row r="57" spans="4:7" x14ac:dyDescent="0.25">
      <c r="D57" s="70"/>
      <c r="E57" s="70"/>
      <c r="F57" s="71"/>
      <c r="G57" s="70"/>
    </row>
    <row r="58" spans="4:7" x14ac:dyDescent="0.25">
      <c r="D58" s="70"/>
      <c r="E58" s="70"/>
      <c r="F58" s="71"/>
      <c r="G58" s="70"/>
    </row>
    <row r="59" spans="4:7" x14ac:dyDescent="0.25">
      <c r="D59" s="70"/>
      <c r="E59" s="70"/>
      <c r="F59" s="71"/>
      <c r="G59" s="70"/>
    </row>
    <row r="60" spans="4:7" x14ac:dyDescent="0.25">
      <c r="D60" s="70"/>
      <c r="E60" s="70"/>
      <c r="F60" s="71"/>
      <c r="G60" s="70"/>
    </row>
    <row r="61" spans="4:7" x14ac:dyDescent="0.25">
      <c r="D61" s="70"/>
      <c r="E61" s="70"/>
      <c r="F61" s="71"/>
      <c r="G61" s="70"/>
    </row>
    <row r="62" spans="4:7" x14ac:dyDescent="0.25">
      <c r="D62" s="70"/>
      <c r="E62" s="70"/>
      <c r="F62" s="71"/>
      <c r="G62" s="70"/>
    </row>
    <row r="63" spans="4:7" x14ac:dyDescent="0.25">
      <c r="D63" s="70"/>
      <c r="E63" s="70"/>
      <c r="F63" s="71"/>
      <c r="G63" s="70"/>
    </row>
    <row r="64" spans="4:7" x14ac:dyDescent="0.25">
      <c r="D64" s="70"/>
      <c r="E64" s="70"/>
      <c r="F64" s="71"/>
      <c r="G64" s="70"/>
    </row>
    <row r="65" spans="4:7" x14ac:dyDescent="0.25">
      <c r="D65" s="70"/>
      <c r="E65" s="70"/>
      <c r="F65" s="71"/>
      <c r="G65" s="70"/>
    </row>
    <row r="66" spans="4:7" x14ac:dyDescent="0.25">
      <c r="D66" s="70"/>
      <c r="E66" s="70"/>
      <c r="F66" s="71"/>
      <c r="G66" s="70"/>
    </row>
    <row r="67" spans="4:7" x14ac:dyDescent="0.25">
      <c r="D67" s="70"/>
      <c r="E67" s="70"/>
      <c r="F67" s="71"/>
      <c r="G67" s="70"/>
    </row>
    <row r="68" spans="4:7" x14ac:dyDescent="0.25">
      <c r="D68" s="70"/>
      <c r="E68" s="70"/>
      <c r="F68" s="71"/>
      <c r="G68" s="70"/>
    </row>
    <row r="69" spans="4:7" x14ac:dyDescent="0.25">
      <c r="D69" s="70"/>
      <c r="E69" s="70"/>
      <c r="F69" s="71"/>
      <c r="G69" s="70"/>
    </row>
    <row r="70" spans="4:7" x14ac:dyDescent="0.25">
      <c r="D70" s="70"/>
      <c r="E70" s="70"/>
      <c r="F70" s="71"/>
      <c r="G70" s="70"/>
    </row>
    <row r="71" spans="4:7" x14ac:dyDescent="0.25">
      <c r="D71" s="70"/>
      <c r="E71" s="70"/>
      <c r="F71" s="71"/>
      <c r="G71" s="70"/>
    </row>
    <row r="72" spans="4:7" x14ac:dyDescent="0.25">
      <c r="D72" s="70"/>
      <c r="E72" s="70"/>
      <c r="F72" s="71"/>
      <c r="G72" s="70"/>
    </row>
    <row r="73" spans="4:7" x14ac:dyDescent="0.25">
      <c r="D73" s="70"/>
      <c r="E73" s="70"/>
      <c r="F73" s="71"/>
      <c r="G73" s="70"/>
    </row>
    <row r="74" spans="4:7" x14ac:dyDescent="0.25">
      <c r="D74" s="70"/>
      <c r="E74" s="70"/>
      <c r="F74" s="71"/>
      <c r="G74" s="70"/>
    </row>
    <row r="75" spans="4:7" x14ac:dyDescent="0.25">
      <c r="D75" s="70"/>
      <c r="E75" s="70"/>
      <c r="F75" s="71"/>
      <c r="G75" s="70"/>
    </row>
    <row r="76" spans="4:7" x14ac:dyDescent="0.25">
      <c r="D76" s="70"/>
      <c r="E76" s="70"/>
      <c r="F76" s="71"/>
      <c r="G76" s="70"/>
    </row>
    <row r="77" spans="4:7" x14ac:dyDescent="0.25">
      <c r="D77" s="70"/>
      <c r="E77" s="70"/>
      <c r="F77" s="71"/>
      <c r="G77" s="70"/>
    </row>
    <row r="78" spans="4:7" x14ac:dyDescent="0.25">
      <c r="D78" s="70"/>
      <c r="E78" s="70"/>
      <c r="F78" s="71"/>
      <c r="G78" s="70"/>
    </row>
    <row r="79" spans="4:7" x14ac:dyDescent="0.25">
      <c r="D79" s="70"/>
      <c r="E79" s="70"/>
      <c r="F79" s="71"/>
      <c r="G79" s="70"/>
    </row>
    <row r="80" spans="4:7" x14ac:dyDescent="0.25">
      <c r="D80" s="70"/>
      <c r="E80" s="70"/>
      <c r="F80" s="71"/>
      <c r="G80" s="70"/>
    </row>
    <row r="81" spans="4:7" x14ac:dyDescent="0.25">
      <c r="D81" s="70"/>
      <c r="E81" s="70"/>
      <c r="F81" s="71"/>
      <c r="G81" s="70"/>
    </row>
    <row r="82" spans="4:7" x14ac:dyDescent="0.25">
      <c r="D82" s="70"/>
      <c r="E82" s="70"/>
      <c r="F82" s="71"/>
      <c r="G82" s="70"/>
    </row>
    <row r="83" spans="4:7" x14ac:dyDescent="0.25">
      <c r="D83" s="70"/>
      <c r="E83" s="70"/>
      <c r="F83" s="71"/>
      <c r="G83" s="70"/>
    </row>
    <row r="84" spans="4:7" x14ac:dyDescent="0.25">
      <c r="D84" s="70"/>
      <c r="E84" s="70"/>
      <c r="F84" s="71"/>
      <c r="G84" s="70"/>
    </row>
    <row r="85" spans="4:7" x14ac:dyDescent="0.25">
      <c r="D85" s="70"/>
      <c r="E85" s="70"/>
      <c r="F85" s="71"/>
      <c r="G85" s="70"/>
    </row>
    <row r="86" spans="4:7" x14ac:dyDescent="0.25">
      <c r="D86" s="70"/>
      <c r="E86" s="70"/>
      <c r="F86" s="71"/>
      <c r="G86" s="70"/>
    </row>
    <row r="87" spans="4:7" x14ac:dyDescent="0.25">
      <c r="D87" s="70"/>
      <c r="E87" s="70"/>
      <c r="F87" s="71"/>
      <c r="G87" s="70"/>
    </row>
    <row r="88" spans="4:7" x14ac:dyDescent="0.25">
      <c r="D88" s="70"/>
      <c r="E88" s="70"/>
      <c r="F88" s="71"/>
      <c r="G88" s="70"/>
    </row>
    <row r="89" spans="4:7" x14ac:dyDescent="0.25">
      <c r="D89" s="70"/>
      <c r="E89" s="70"/>
      <c r="F89" s="71"/>
      <c r="G89" s="70"/>
    </row>
    <row r="90" spans="4:7" x14ac:dyDescent="0.25">
      <c r="D90" s="70"/>
      <c r="E90" s="70"/>
      <c r="F90" s="71"/>
      <c r="G90" s="70"/>
    </row>
    <row r="91" spans="4:7" x14ac:dyDescent="0.25">
      <c r="D91" s="70"/>
      <c r="E91" s="70"/>
      <c r="F91" s="71"/>
      <c r="G91" s="70"/>
    </row>
    <row r="92" spans="4:7" x14ac:dyDescent="0.25">
      <c r="D92" s="70"/>
      <c r="E92" s="70"/>
      <c r="F92" s="71"/>
      <c r="G92" s="70"/>
    </row>
    <row r="93" spans="4:7" x14ac:dyDescent="0.25">
      <c r="D93" s="70"/>
      <c r="E93" s="70"/>
      <c r="F93" s="71"/>
      <c r="G93" s="70"/>
    </row>
    <row r="94" spans="4:7" x14ac:dyDescent="0.25">
      <c r="D94" s="70"/>
      <c r="E94" s="70"/>
      <c r="F94" s="71"/>
      <c r="G94" s="70"/>
    </row>
    <row r="95" spans="4:7" x14ac:dyDescent="0.25">
      <c r="D95" s="70"/>
      <c r="E95" s="70"/>
      <c r="F95" s="71"/>
      <c r="G95" s="70"/>
    </row>
    <row r="96" spans="4:7" x14ac:dyDescent="0.25">
      <c r="D96" s="70"/>
      <c r="E96" s="70"/>
      <c r="F96" s="71"/>
      <c r="G96" s="70"/>
    </row>
    <row r="97" spans="4:7" x14ac:dyDescent="0.25">
      <c r="D97" s="70"/>
      <c r="E97" s="70"/>
      <c r="F97" s="71"/>
      <c r="G97" s="70"/>
    </row>
    <row r="98" spans="4:7" x14ac:dyDescent="0.25">
      <c r="D98" s="70"/>
      <c r="E98" s="70"/>
      <c r="F98" s="71"/>
      <c r="G98" s="70"/>
    </row>
    <row r="99" spans="4:7" x14ac:dyDescent="0.25">
      <c r="D99" s="70"/>
      <c r="E99" s="70"/>
      <c r="F99" s="71"/>
      <c r="G99" s="70"/>
    </row>
    <row r="100" spans="4:7" x14ac:dyDescent="0.25">
      <c r="D100" s="70"/>
      <c r="E100" s="70"/>
      <c r="F100" s="71"/>
      <c r="G100" s="70"/>
    </row>
    <row r="101" spans="4:7" x14ac:dyDescent="0.25">
      <c r="D101" s="70"/>
      <c r="E101" s="70"/>
      <c r="F101" s="71"/>
      <c r="G101" s="70"/>
    </row>
    <row r="102" spans="4:7" x14ac:dyDescent="0.25">
      <c r="D102" s="70"/>
      <c r="E102" s="70"/>
      <c r="F102" s="71"/>
      <c r="G102" s="70"/>
    </row>
    <row r="103" spans="4:7" x14ac:dyDescent="0.25">
      <c r="D103" s="70"/>
      <c r="E103" s="70"/>
      <c r="F103" s="71"/>
      <c r="G103" s="70"/>
    </row>
    <row r="104" spans="4:7" x14ac:dyDescent="0.25">
      <c r="D104" s="70"/>
      <c r="E104" s="70"/>
      <c r="F104" s="71"/>
      <c r="G104" s="70"/>
    </row>
    <row r="105" spans="4:7" x14ac:dyDescent="0.25">
      <c r="D105" s="70"/>
      <c r="E105" s="70"/>
      <c r="F105" s="71"/>
      <c r="G105" s="70"/>
    </row>
    <row r="106" spans="4:7" x14ac:dyDescent="0.25">
      <c r="D106" s="70"/>
      <c r="E106" s="70"/>
      <c r="F106" s="71"/>
      <c r="G106" s="70"/>
    </row>
    <row r="107" spans="4:7" x14ac:dyDescent="0.25">
      <c r="D107" s="70"/>
      <c r="E107" s="70"/>
      <c r="F107" s="71"/>
      <c r="G107" s="70"/>
    </row>
    <row r="108" spans="4:7" x14ac:dyDescent="0.25">
      <c r="D108" s="70"/>
      <c r="E108" s="70"/>
      <c r="F108" s="71"/>
      <c r="G108" s="70"/>
    </row>
    <row r="109" spans="4:7" x14ac:dyDescent="0.25">
      <c r="D109" s="70"/>
      <c r="E109" s="70"/>
      <c r="F109" s="71"/>
      <c r="G109" s="70"/>
    </row>
    <row r="110" spans="4:7" x14ac:dyDescent="0.25">
      <c r="D110" s="70"/>
      <c r="E110" s="70"/>
      <c r="F110" s="71"/>
      <c r="G110" s="70"/>
    </row>
    <row r="111" spans="4:7" x14ac:dyDescent="0.25">
      <c r="D111" s="70"/>
      <c r="E111" s="70"/>
      <c r="F111" s="71"/>
      <c r="G111" s="70"/>
    </row>
    <row r="112" spans="4:7" x14ac:dyDescent="0.25">
      <c r="D112" s="70"/>
      <c r="E112" s="70"/>
      <c r="F112" s="71"/>
      <c r="G112" s="70"/>
    </row>
    <row r="113" spans="4:7" x14ac:dyDescent="0.25">
      <c r="D113" s="70"/>
      <c r="E113" s="70"/>
      <c r="F113" s="71"/>
      <c r="G113" s="70"/>
    </row>
    <row r="114" spans="4:7" x14ac:dyDescent="0.25">
      <c r="D114" s="70"/>
      <c r="E114" s="70"/>
      <c r="F114" s="71"/>
      <c r="G114" s="70"/>
    </row>
    <row r="115" spans="4:7" x14ac:dyDescent="0.25">
      <c r="D115" s="70"/>
      <c r="E115" s="70"/>
      <c r="F115" s="71"/>
      <c r="G115" s="70"/>
    </row>
    <row r="116" spans="4:7" x14ac:dyDescent="0.25">
      <c r="D116" s="70"/>
      <c r="E116" s="70"/>
      <c r="F116" s="71"/>
      <c r="G116" s="70"/>
    </row>
    <row r="117" spans="4:7" x14ac:dyDescent="0.25">
      <c r="D117" s="70"/>
      <c r="E117" s="70"/>
      <c r="F117" s="71"/>
      <c r="G117" s="70"/>
    </row>
    <row r="118" spans="4:7" x14ac:dyDescent="0.25">
      <c r="D118" s="70"/>
      <c r="E118" s="70"/>
      <c r="F118" s="71"/>
      <c r="G118" s="70"/>
    </row>
    <row r="119" spans="4:7" x14ac:dyDescent="0.25">
      <c r="D119" s="70"/>
      <c r="E119" s="70"/>
      <c r="F119" s="71"/>
      <c r="G119" s="70"/>
    </row>
    <row r="120" spans="4:7" x14ac:dyDescent="0.25">
      <c r="D120" s="70"/>
      <c r="E120" s="70"/>
      <c r="F120" s="71"/>
      <c r="G120" s="70"/>
    </row>
    <row r="121" spans="4:7" x14ac:dyDescent="0.25">
      <c r="D121" s="70"/>
      <c r="E121" s="70"/>
      <c r="F121" s="71"/>
      <c r="G121" s="70"/>
    </row>
    <row r="122" spans="4:7" x14ac:dyDescent="0.25">
      <c r="D122" s="70"/>
      <c r="E122" s="70"/>
      <c r="F122" s="71"/>
      <c r="G122" s="70"/>
    </row>
    <row r="123" spans="4:7" x14ac:dyDescent="0.25">
      <c r="D123" s="70"/>
      <c r="E123" s="70"/>
      <c r="F123" s="71"/>
      <c r="G123" s="70"/>
    </row>
    <row r="124" spans="4:7" x14ac:dyDescent="0.25">
      <c r="D124" s="70"/>
      <c r="E124" s="70"/>
      <c r="F124" s="71"/>
      <c r="G124" s="70"/>
    </row>
    <row r="125" spans="4:7" x14ac:dyDescent="0.25">
      <c r="D125" s="70"/>
      <c r="E125" s="70"/>
      <c r="F125" s="71"/>
      <c r="G125" s="70"/>
    </row>
    <row r="126" spans="4:7" x14ac:dyDescent="0.25">
      <c r="D126" s="70"/>
      <c r="E126" s="70"/>
      <c r="F126" s="71"/>
      <c r="G126" s="70"/>
    </row>
    <row r="127" spans="4:7" x14ac:dyDescent="0.25">
      <c r="D127" s="70"/>
      <c r="E127" s="70"/>
      <c r="F127" s="71"/>
      <c r="G127" s="70"/>
    </row>
    <row r="128" spans="4:7" x14ac:dyDescent="0.25">
      <c r="D128" s="70"/>
      <c r="E128" s="70"/>
      <c r="F128" s="71"/>
      <c r="G128" s="70"/>
    </row>
    <row r="129" spans="4:7" x14ac:dyDescent="0.25">
      <c r="D129" s="70"/>
      <c r="E129" s="70"/>
      <c r="F129" s="71"/>
      <c r="G129" s="70"/>
    </row>
    <row r="130" spans="4:7" x14ac:dyDescent="0.25">
      <c r="D130" s="70"/>
      <c r="E130" s="70"/>
      <c r="F130" s="71"/>
      <c r="G130" s="70"/>
    </row>
    <row r="131" spans="4:7" x14ac:dyDescent="0.25">
      <c r="D131" s="70"/>
      <c r="E131" s="70"/>
      <c r="F131" s="71"/>
      <c r="G131" s="70"/>
    </row>
    <row r="132" spans="4:7" x14ac:dyDescent="0.25">
      <c r="D132" s="70"/>
      <c r="E132" s="70"/>
      <c r="F132" s="71"/>
      <c r="G132" s="70"/>
    </row>
    <row r="133" spans="4:7" x14ac:dyDescent="0.25">
      <c r="D133" s="70"/>
      <c r="E133" s="70"/>
      <c r="F133" s="71"/>
      <c r="G133" s="70"/>
    </row>
    <row r="134" spans="4:7" x14ac:dyDescent="0.25">
      <c r="D134" s="70"/>
      <c r="E134" s="70"/>
      <c r="F134" s="71"/>
      <c r="G134" s="70"/>
    </row>
    <row r="135" spans="4:7" x14ac:dyDescent="0.25">
      <c r="D135" s="70"/>
      <c r="E135" s="70"/>
      <c r="F135" s="71"/>
      <c r="G135" s="70"/>
    </row>
    <row r="136" spans="4:7" x14ac:dyDescent="0.25">
      <c r="D136" s="70"/>
      <c r="E136" s="70"/>
      <c r="F136" s="71"/>
      <c r="G136" s="70"/>
    </row>
    <row r="137" spans="4:7" x14ac:dyDescent="0.25">
      <c r="D137" s="70"/>
      <c r="E137" s="70"/>
      <c r="F137" s="71"/>
      <c r="G137" s="70"/>
    </row>
    <row r="138" spans="4:7" x14ac:dyDescent="0.25">
      <c r="D138" s="70"/>
      <c r="E138" s="70"/>
      <c r="F138" s="71"/>
      <c r="G138" s="70"/>
    </row>
    <row r="139" spans="4:7" x14ac:dyDescent="0.25">
      <c r="D139" s="70"/>
      <c r="E139" s="70"/>
      <c r="F139" s="71"/>
      <c r="G139" s="70"/>
    </row>
    <row r="140" spans="4:7" x14ac:dyDescent="0.25">
      <c r="D140" s="70"/>
      <c r="E140" s="70"/>
      <c r="F140" s="71"/>
      <c r="G140" s="70"/>
    </row>
    <row r="141" spans="4:7" x14ac:dyDescent="0.25">
      <c r="D141" s="70"/>
      <c r="E141" s="70"/>
      <c r="F141" s="71"/>
      <c r="G141" s="70"/>
    </row>
    <row r="142" spans="4:7" x14ac:dyDescent="0.25">
      <c r="D142" s="70"/>
      <c r="E142" s="70"/>
      <c r="F142" s="71"/>
      <c r="G142" s="70"/>
    </row>
    <row r="143" spans="4:7" x14ac:dyDescent="0.25">
      <c r="D143" s="70"/>
      <c r="E143" s="70"/>
      <c r="F143" s="71"/>
      <c r="G143" s="70"/>
    </row>
    <row r="144" spans="4:7" x14ac:dyDescent="0.25">
      <c r="D144" s="70"/>
      <c r="E144" s="70"/>
      <c r="F144" s="71"/>
      <c r="G144" s="70"/>
    </row>
    <row r="145" spans="4:7" x14ac:dyDescent="0.25">
      <c r="D145" s="70"/>
      <c r="E145" s="70"/>
      <c r="F145" s="71"/>
      <c r="G145" s="70"/>
    </row>
    <row r="146" spans="4:7" x14ac:dyDescent="0.25">
      <c r="D146" s="70"/>
      <c r="E146" s="70"/>
      <c r="F146" s="71"/>
      <c r="G146" s="70"/>
    </row>
    <row r="147" spans="4:7" x14ac:dyDescent="0.25">
      <c r="D147" s="70"/>
      <c r="E147" s="70"/>
      <c r="F147" s="71"/>
      <c r="G147" s="70"/>
    </row>
    <row r="148" spans="4:7" x14ac:dyDescent="0.25">
      <c r="D148" s="70"/>
      <c r="E148" s="70"/>
      <c r="F148" s="71"/>
      <c r="G148" s="70"/>
    </row>
    <row r="149" spans="4:7" x14ac:dyDescent="0.25">
      <c r="D149" s="70"/>
      <c r="E149" s="70"/>
      <c r="F149" s="71"/>
      <c r="G149" s="70"/>
    </row>
    <row r="150" spans="4:7" x14ac:dyDescent="0.25">
      <c r="D150" s="70"/>
      <c r="E150" s="70"/>
      <c r="F150" s="71"/>
      <c r="G150" s="70"/>
    </row>
    <row r="151" spans="4:7" x14ac:dyDescent="0.25">
      <c r="D151" s="70"/>
      <c r="E151" s="70"/>
      <c r="F151" s="71"/>
      <c r="G151" s="70"/>
    </row>
    <row r="152" spans="4:7" x14ac:dyDescent="0.25">
      <c r="D152" s="70"/>
      <c r="E152" s="70"/>
      <c r="F152" s="71"/>
      <c r="G152" s="70"/>
    </row>
    <row r="153" spans="4:7" x14ac:dyDescent="0.25">
      <c r="D153" s="70"/>
      <c r="E153" s="70"/>
      <c r="F153" s="71"/>
      <c r="G153" s="70"/>
    </row>
    <row r="154" spans="4:7" x14ac:dyDescent="0.25">
      <c r="D154" s="70"/>
      <c r="E154" s="70"/>
      <c r="F154" s="71"/>
      <c r="G154" s="70"/>
    </row>
    <row r="155" spans="4:7" x14ac:dyDescent="0.25">
      <c r="D155" s="70"/>
      <c r="E155" s="70"/>
      <c r="F155" s="71"/>
      <c r="G155" s="70"/>
    </row>
    <row r="156" spans="4:7" x14ac:dyDescent="0.25">
      <c r="D156" s="70"/>
      <c r="E156" s="70"/>
      <c r="F156" s="71"/>
      <c r="G156" s="70"/>
    </row>
    <row r="157" spans="4:7" x14ac:dyDescent="0.25">
      <c r="D157" s="70"/>
      <c r="E157" s="70"/>
      <c r="F157" s="71"/>
      <c r="G157" s="70"/>
    </row>
    <row r="158" spans="4:7" x14ac:dyDescent="0.25">
      <c r="D158" s="70"/>
      <c r="E158" s="70"/>
      <c r="F158" s="71"/>
      <c r="G158" s="70"/>
    </row>
    <row r="159" spans="4:7" x14ac:dyDescent="0.25">
      <c r="D159" s="70"/>
      <c r="E159" s="70"/>
      <c r="F159" s="71"/>
      <c r="G159" s="70"/>
    </row>
    <row r="160" spans="4:7" x14ac:dyDescent="0.25">
      <c r="D160" s="70"/>
      <c r="E160" s="70"/>
      <c r="F160" s="71"/>
      <c r="G160" s="70"/>
    </row>
    <row r="161" spans="4:7" x14ac:dyDescent="0.25">
      <c r="D161" s="70"/>
      <c r="E161" s="70"/>
      <c r="F161" s="71"/>
      <c r="G161" s="70"/>
    </row>
    <row r="162" spans="4:7" x14ac:dyDescent="0.25">
      <c r="D162" s="70"/>
      <c r="E162" s="70"/>
      <c r="F162" s="71"/>
      <c r="G162" s="70"/>
    </row>
    <row r="163" spans="4:7" x14ac:dyDescent="0.25">
      <c r="D163" s="70"/>
      <c r="E163" s="70"/>
      <c r="F163" s="71"/>
      <c r="G163" s="70"/>
    </row>
    <row r="164" spans="4:7" x14ac:dyDescent="0.25">
      <c r="D164" s="70"/>
      <c r="E164" s="70"/>
      <c r="F164" s="71"/>
      <c r="G164" s="70"/>
    </row>
    <row r="165" spans="4:7" x14ac:dyDescent="0.25">
      <c r="D165" s="70"/>
      <c r="E165" s="70"/>
      <c r="F165" s="71"/>
      <c r="G165" s="70"/>
    </row>
    <row r="166" spans="4:7" x14ac:dyDescent="0.25">
      <c r="D166" s="70"/>
      <c r="E166" s="70"/>
      <c r="F166" s="71"/>
      <c r="G166" s="70"/>
    </row>
    <row r="167" spans="4:7" x14ac:dyDescent="0.25">
      <c r="D167" s="70"/>
      <c r="E167" s="70"/>
      <c r="F167" s="71"/>
      <c r="G167" s="70"/>
    </row>
    <row r="168" spans="4:7" x14ac:dyDescent="0.25">
      <c r="D168" s="70"/>
      <c r="E168" s="70"/>
      <c r="F168" s="71"/>
      <c r="G168" s="70"/>
    </row>
    <row r="169" spans="4:7" x14ac:dyDescent="0.25">
      <c r="D169" s="70"/>
      <c r="E169" s="70"/>
      <c r="F169" s="71"/>
      <c r="G169" s="70"/>
    </row>
    <row r="170" spans="4:7" x14ac:dyDescent="0.25">
      <c r="D170" s="70"/>
      <c r="E170" s="70"/>
      <c r="F170" s="71"/>
      <c r="G170" s="70"/>
    </row>
    <row r="171" spans="4:7" x14ac:dyDescent="0.25">
      <c r="D171" s="70"/>
      <c r="E171" s="70"/>
      <c r="F171" s="71"/>
      <c r="G171" s="70"/>
    </row>
    <row r="172" spans="4:7" x14ac:dyDescent="0.25">
      <c r="D172" s="70"/>
      <c r="E172" s="70"/>
      <c r="F172" s="71"/>
      <c r="G172" s="70"/>
    </row>
    <row r="173" spans="4:7" x14ac:dyDescent="0.25">
      <c r="D173" s="70"/>
      <c r="E173" s="70"/>
      <c r="F173" s="71"/>
      <c r="G173" s="70"/>
    </row>
    <row r="174" spans="4:7" x14ac:dyDescent="0.25">
      <c r="D174" s="70"/>
      <c r="E174" s="70"/>
      <c r="F174" s="71"/>
      <c r="G174" s="70"/>
    </row>
    <row r="175" spans="4:7" x14ac:dyDescent="0.25">
      <c r="D175" s="70"/>
      <c r="E175" s="70"/>
      <c r="F175" s="71"/>
      <c r="G175" s="70"/>
    </row>
    <row r="176" spans="4:7" x14ac:dyDescent="0.25">
      <c r="D176" s="70"/>
      <c r="E176" s="70"/>
      <c r="F176" s="71"/>
      <c r="G176" s="70"/>
    </row>
    <row r="177" spans="4:7" x14ac:dyDescent="0.25">
      <c r="D177" s="70"/>
      <c r="E177" s="70"/>
      <c r="F177" s="71"/>
      <c r="G177" s="70"/>
    </row>
    <row r="178" spans="4:7" x14ac:dyDescent="0.25">
      <c r="D178" s="70"/>
      <c r="E178" s="70"/>
      <c r="F178" s="71"/>
      <c r="G178" s="70"/>
    </row>
    <row r="179" spans="4:7" x14ac:dyDescent="0.25">
      <c r="D179" s="70"/>
      <c r="E179" s="70"/>
      <c r="F179" s="71"/>
      <c r="G179" s="70"/>
    </row>
    <row r="180" spans="4:7" x14ac:dyDescent="0.25">
      <c r="D180" s="70"/>
      <c r="E180" s="70"/>
      <c r="F180" s="71"/>
      <c r="G180" s="70"/>
    </row>
    <row r="181" spans="4:7" x14ac:dyDescent="0.25">
      <c r="D181" s="70"/>
      <c r="E181" s="70"/>
      <c r="F181" s="71"/>
      <c r="G181" s="70"/>
    </row>
    <row r="182" spans="4:7" x14ac:dyDescent="0.25">
      <c r="D182" s="70"/>
      <c r="E182" s="70"/>
      <c r="F182" s="71"/>
      <c r="G182" s="70"/>
    </row>
    <row r="183" spans="4:7" x14ac:dyDescent="0.25">
      <c r="D183" s="70"/>
      <c r="E183" s="70"/>
      <c r="F183" s="71"/>
      <c r="G183" s="70"/>
    </row>
    <row r="184" spans="4:7" x14ac:dyDescent="0.25">
      <c r="D184" s="70"/>
      <c r="E184" s="70"/>
      <c r="F184" s="71"/>
      <c r="G184" s="70"/>
    </row>
    <row r="185" spans="4:7" x14ac:dyDescent="0.25">
      <c r="D185" s="70"/>
      <c r="E185" s="70"/>
      <c r="F185" s="71"/>
      <c r="G185" s="70"/>
    </row>
    <row r="186" spans="4:7" x14ac:dyDescent="0.25">
      <c r="D186" s="70"/>
      <c r="E186" s="70"/>
      <c r="F186" s="71"/>
      <c r="G186" s="70"/>
    </row>
    <row r="187" spans="4:7" x14ac:dyDescent="0.25">
      <c r="D187" s="70"/>
      <c r="E187" s="70"/>
      <c r="F187" s="71"/>
      <c r="G187" s="70"/>
    </row>
    <row r="188" spans="4:7" x14ac:dyDescent="0.25">
      <c r="D188" s="70"/>
      <c r="E188" s="70"/>
      <c r="F188" s="71"/>
      <c r="G188" s="70"/>
    </row>
    <row r="189" spans="4:7" x14ac:dyDescent="0.25">
      <c r="D189" s="70"/>
      <c r="E189" s="70"/>
      <c r="F189" s="71"/>
      <c r="G189" s="70"/>
    </row>
    <row r="190" spans="4:7" x14ac:dyDescent="0.25">
      <c r="D190" s="70"/>
      <c r="E190" s="70"/>
      <c r="F190" s="71"/>
      <c r="G190" s="70"/>
    </row>
    <row r="191" spans="4:7" x14ac:dyDescent="0.25">
      <c r="D191" s="70"/>
      <c r="E191" s="70"/>
      <c r="F191" s="71"/>
      <c r="G191" s="70"/>
    </row>
    <row r="192" spans="4:7" x14ac:dyDescent="0.25">
      <c r="D192" s="70"/>
      <c r="E192" s="70"/>
      <c r="F192" s="71"/>
      <c r="G192" s="70"/>
    </row>
    <row r="193" spans="4:7" x14ac:dyDescent="0.25">
      <c r="D193" s="70"/>
      <c r="E193" s="70"/>
      <c r="F193" s="71"/>
      <c r="G193" s="70"/>
    </row>
    <row r="194" spans="4:7" x14ac:dyDescent="0.25">
      <c r="D194" s="70"/>
      <c r="E194" s="70"/>
      <c r="F194" s="71"/>
      <c r="G194" s="70"/>
    </row>
    <row r="195" spans="4:7" x14ac:dyDescent="0.25">
      <c r="D195" s="70"/>
      <c r="E195" s="70"/>
      <c r="F195" s="71"/>
      <c r="G195" s="70"/>
    </row>
    <row r="196" spans="4:7" x14ac:dyDescent="0.25">
      <c r="D196" s="70"/>
      <c r="E196" s="70"/>
      <c r="F196" s="71"/>
      <c r="G196" s="70"/>
    </row>
    <row r="197" spans="4:7" x14ac:dyDescent="0.25">
      <c r="D197" s="70"/>
      <c r="E197" s="70"/>
      <c r="F197" s="71"/>
      <c r="G197" s="70"/>
    </row>
    <row r="198" spans="4:7" x14ac:dyDescent="0.25">
      <c r="D198" s="70"/>
      <c r="E198" s="70"/>
      <c r="F198" s="71"/>
      <c r="G198" s="70"/>
    </row>
    <row r="199" spans="4:7" x14ac:dyDescent="0.25">
      <c r="D199" s="70"/>
      <c r="E199" s="70"/>
      <c r="F199" s="71"/>
      <c r="G199" s="70"/>
    </row>
    <row r="200" spans="4:7" x14ac:dyDescent="0.25">
      <c r="D200" s="70"/>
      <c r="E200" s="70"/>
      <c r="F200" s="71"/>
      <c r="G200" s="70"/>
    </row>
    <row r="201" spans="4:7" x14ac:dyDescent="0.25">
      <c r="D201" s="70"/>
      <c r="E201" s="70"/>
      <c r="F201" s="71"/>
      <c r="G201" s="70"/>
    </row>
    <row r="202" spans="4:7" x14ac:dyDescent="0.25">
      <c r="D202" s="70"/>
      <c r="E202" s="70"/>
      <c r="F202" s="71"/>
      <c r="G202" s="70"/>
    </row>
    <row r="203" spans="4:7" x14ac:dyDescent="0.25">
      <c r="D203" s="70"/>
      <c r="E203" s="70"/>
      <c r="F203" s="71"/>
      <c r="G203" s="70"/>
    </row>
    <row r="204" spans="4:7" x14ac:dyDescent="0.25">
      <c r="D204" s="70"/>
      <c r="E204" s="70"/>
      <c r="F204" s="71"/>
      <c r="G204" s="70"/>
    </row>
    <row r="205" spans="4:7" x14ac:dyDescent="0.25">
      <c r="D205" s="70"/>
      <c r="E205" s="70"/>
      <c r="F205" s="71"/>
      <c r="G205" s="70"/>
    </row>
    <row r="206" spans="4:7" x14ac:dyDescent="0.25">
      <c r="D206" s="70"/>
      <c r="E206" s="70"/>
      <c r="F206" s="71"/>
      <c r="G206" s="70"/>
    </row>
    <row r="207" spans="4:7" x14ac:dyDescent="0.25">
      <c r="D207" s="70"/>
      <c r="E207" s="70"/>
      <c r="F207" s="71"/>
      <c r="G207" s="70"/>
    </row>
    <row r="208" spans="4:7" x14ac:dyDescent="0.25">
      <c r="D208" s="70"/>
      <c r="E208" s="70"/>
      <c r="F208" s="71"/>
      <c r="G208" s="70"/>
    </row>
    <row r="209" spans="4:7" x14ac:dyDescent="0.25">
      <c r="D209" s="70"/>
      <c r="E209" s="70"/>
      <c r="F209" s="71"/>
      <c r="G209" s="70"/>
    </row>
    <row r="210" spans="4:7" x14ac:dyDescent="0.25">
      <c r="D210" s="70"/>
      <c r="E210" s="70"/>
      <c r="F210" s="71"/>
      <c r="G210" s="70"/>
    </row>
    <row r="211" spans="4:7" x14ac:dyDescent="0.25">
      <c r="D211" s="70"/>
      <c r="E211" s="70"/>
      <c r="F211" s="71"/>
      <c r="G211" s="70"/>
    </row>
    <row r="212" spans="4:7" x14ac:dyDescent="0.25">
      <c r="D212" s="70"/>
      <c r="E212" s="70"/>
      <c r="F212" s="71"/>
      <c r="G212" s="70"/>
    </row>
    <row r="213" spans="4:7" x14ac:dyDescent="0.25">
      <c r="D213" s="70"/>
      <c r="E213" s="70"/>
      <c r="F213" s="71"/>
      <c r="G213" s="70"/>
    </row>
    <row r="214" spans="4:7" x14ac:dyDescent="0.25">
      <c r="D214" s="70"/>
      <c r="E214" s="70"/>
      <c r="F214" s="71"/>
      <c r="G214" s="70"/>
    </row>
    <row r="215" spans="4:7" x14ac:dyDescent="0.25">
      <c r="D215" s="70"/>
      <c r="E215" s="70"/>
      <c r="F215" s="71"/>
      <c r="G215" s="70"/>
    </row>
    <row r="216" spans="4:7" x14ac:dyDescent="0.25">
      <c r="D216" s="70"/>
      <c r="E216" s="70"/>
      <c r="F216" s="71"/>
      <c r="G216" s="70"/>
    </row>
    <row r="217" spans="4:7" x14ac:dyDescent="0.25">
      <c r="D217" s="70"/>
      <c r="E217" s="70"/>
      <c r="F217" s="71"/>
      <c r="G217" s="70"/>
    </row>
    <row r="218" spans="4:7" x14ac:dyDescent="0.25">
      <c r="D218" s="70"/>
      <c r="E218" s="70"/>
      <c r="F218" s="71"/>
      <c r="G218" s="70"/>
    </row>
    <row r="219" spans="4:7" x14ac:dyDescent="0.25">
      <c r="D219" s="70"/>
      <c r="E219" s="70"/>
      <c r="F219" s="71"/>
      <c r="G219" s="70"/>
    </row>
    <row r="220" spans="4:7" x14ac:dyDescent="0.25">
      <c r="D220" s="70"/>
      <c r="E220" s="70"/>
      <c r="F220" s="71"/>
      <c r="G220" s="70"/>
    </row>
    <row r="221" spans="4:7" x14ac:dyDescent="0.25">
      <c r="D221" s="70"/>
      <c r="E221" s="70"/>
      <c r="F221" s="71"/>
      <c r="G221" s="70"/>
    </row>
    <row r="222" spans="4:7" x14ac:dyDescent="0.25">
      <c r="D222" s="70"/>
      <c r="E222" s="70"/>
      <c r="F222" s="71"/>
      <c r="G222" s="70"/>
    </row>
    <row r="223" spans="4:7" x14ac:dyDescent="0.25">
      <c r="D223" s="70"/>
      <c r="E223" s="70"/>
      <c r="F223" s="71"/>
      <c r="G223" s="70"/>
    </row>
    <row r="224" spans="4:7" x14ac:dyDescent="0.25">
      <c r="D224" s="70"/>
      <c r="E224" s="70"/>
      <c r="F224" s="71"/>
      <c r="G224" s="70"/>
    </row>
    <row r="225" spans="4:7" x14ac:dyDescent="0.25">
      <c r="D225" s="70"/>
      <c r="E225" s="70"/>
      <c r="F225" s="71"/>
      <c r="G225" s="70"/>
    </row>
    <row r="226" spans="4:7" x14ac:dyDescent="0.25">
      <c r="D226" s="70"/>
      <c r="E226" s="70"/>
      <c r="F226" s="71"/>
      <c r="G226" s="70"/>
    </row>
    <row r="227" spans="4:7" x14ac:dyDescent="0.25">
      <c r="D227" s="70"/>
      <c r="E227" s="70"/>
      <c r="F227" s="71"/>
      <c r="G227" s="70"/>
    </row>
    <row r="228" spans="4:7" x14ac:dyDescent="0.25">
      <c r="D228" s="70"/>
      <c r="E228" s="70"/>
      <c r="F228" s="71"/>
      <c r="G228" s="70"/>
    </row>
    <row r="229" spans="4:7" x14ac:dyDescent="0.25">
      <c r="D229" s="70"/>
      <c r="E229" s="70"/>
      <c r="F229" s="71"/>
      <c r="G229" s="70"/>
    </row>
    <row r="230" spans="4:7" x14ac:dyDescent="0.25">
      <c r="D230" s="70"/>
      <c r="E230" s="70"/>
      <c r="F230" s="71"/>
      <c r="G230" s="70"/>
    </row>
    <row r="231" spans="4:7" x14ac:dyDescent="0.25">
      <c r="D231" s="70"/>
      <c r="E231" s="70"/>
      <c r="F231" s="71"/>
      <c r="G231" s="70"/>
    </row>
    <row r="232" spans="4:7" x14ac:dyDescent="0.25">
      <c r="D232" s="70"/>
      <c r="E232" s="70"/>
      <c r="F232" s="71"/>
      <c r="G232" s="70"/>
    </row>
    <row r="233" spans="4:7" x14ac:dyDescent="0.25">
      <c r="D233" s="70"/>
      <c r="E233" s="70"/>
      <c r="F233" s="71"/>
      <c r="G233" s="70"/>
    </row>
    <row r="234" spans="4:7" x14ac:dyDescent="0.25">
      <c r="D234" s="70"/>
      <c r="E234" s="70"/>
      <c r="F234" s="71"/>
      <c r="G234" s="70"/>
    </row>
    <row r="235" spans="4:7" x14ac:dyDescent="0.25">
      <c r="D235" s="70"/>
      <c r="E235" s="70"/>
      <c r="F235" s="71"/>
      <c r="G235" s="70"/>
    </row>
    <row r="236" spans="4:7" x14ac:dyDescent="0.25">
      <c r="D236" s="70"/>
      <c r="E236" s="70"/>
      <c r="F236" s="71"/>
      <c r="G236" s="70"/>
    </row>
    <row r="237" spans="4:7" x14ac:dyDescent="0.25">
      <c r="D237" s="70"/>
      <c r="E237" s="70"/>
      <c r="F237" s="71"/>
      <c r="G237" s="70"/>
    </row>
    <row r="238" spans="4:7" x14ac:dyDescent="0.25">
      <c r="D238" s="70"/>
      <c r="E238" s="70"/>
      <c r="F238" s="71"/>
      <c r="G238" s="70"/>
    </row>
    <row r="239" spans="4:7" x14ac:dyDescent="0.25">
      <c r="D239" s="70"/>
      <c r="E239" s="70"/>
      <c r="F239" s="71"/>
      <c r="G239" s="70"/>
    </row>
    <row r="240" spans="4:7" x14ac:dyDescent="0.25">
      <c r="D240" s="70"/>
      <c r="E240" s="70"/>
      <c r="F240" s="71"/>
      <c r="G240" s="70"/>
    </row>
    <row r="241" spans="4:7" x14ac:dyDescent="0.25">
      <c r="D241" s="70"/>
      <c r="E241" s="70"/>
      <c r="F241" s="71"/>
      <c r="G241" s="70"/>
    </row>
    <row r="242" spans="4:7" x14ac:dyDescent="0.25">
      <c r="D242" s="70"/>
      <c r="E242" s="70"/>
      <c r="F242" s="71"/>
      <c r="G242" s="70"/>
    </row>
    <row r="243" spans="4:7" x14ac:dyDescent="0.25">
      <c r="D243" s="70"/>
      <c r="E243" s="70"/>
      <c r="F243" s="71"/>
      <c r="G243" s="70"/>
    </row>
    <row r="244" spans="4:7" x14ac:dyDescent="0.25">
      <c r="D244" s="70"/>
      <c r="E244" s="70"/>
      <c r="F244" s="71"/>
      <c r="G244" s="70"/>
    </row>
    <row r="245" spans="4:7" x14ac:dyDescent="0.25">
      <c r="D245" s="70"/>
      <c r="E245" s="70"/>
      <c r="F245" s="71"/>
      <c r="G245" s="70"/>
    </row>
    <row r="246" spans="4:7" x14ac:dyDescent="0.25">
      <c r="D246" s="70"/>
      <c r="E246" s="70"/>
      <c r="F246" s="71"/>
      <c r="G246" s="70"/>
    </row>
    <row r="247" spans="4:7" x14ac:dyDescent="0.25">
      <c r="D247" s="70"/>
      <c r="E247" s="70"/>
      <c r="F247" s="71"/>
      <c r="G247" s="70"/>
    </row>
    <row r="248" spans="4:7" x14ac:dyDescent="0.25">
      <c r="D248" s="70"/>
      <c r="E248" s="70"/>
      <c r="F248" s="71"/>
      <c r="G248" s="70"/>
    </row>
    <row r="249" spans="4:7" x14ac:dyDescent="0.25">
      <c r="D249" s="70"/>
      <c r="E249" s="70"/>
      <c r="F249" s="71"/>
      <c r="G249" s="70"/>
    </row>
    <row r="250" spans="4:7" x14ac:dyDescent="0.25">
      <c r="D250" s="70"/>
      <c r="E250" s="70"/>
      <c r="F250" s="71"/>
      <c r="G250" s="70"/>
    </row>
    <row r="251" spans="4:7" x14ac:dyDescent="0.25">
      <c r="D251" s="70"/>
      <c r="E251" s="70"/>
      <c r="F251" s="71"/>
      <c r="G251" s="70"/>
    </row>
    <row r="252" spans="4:7" x14ac:dyDescent="0.25">
      <c r="D252" s="70"/>
      <c r="E252" s="70"/>
      <c r="F252" s="71"/>
      <c r="G252" s="70"/>
    </row>
    <row r="253" spans="4:7" x14ac:dyDescent="0.25">
      <c r="D253" s="70"/>
      <c r="E253" s="70"/>
      <c r="F253" s="71"/>
      <c r="G253" s="70"/>
    </row>
    <row r="254" spans="4:7" x14ac:dyDescent="0.25">
      <c r="D254" s="70"/>
      <c r="E254" s="70"/>
      <c r="F254" s="71"/>
      <c r="G254" s="70"/>
    </row>
    <row r="255" spans="4:7" x14ac:dyDescent="0.25">
      <c r="D255" s="70"/>
      <c r="E255" s="70"/>
      <c r="F255" s="71"/>
      <c r="G255" s="70"/>
    </row>
    <row r="256" spans="4:7" x14ac:dyDescent="0.25">
      <c r="D256" s="70"/>
      <c r="E256" s="70"/>
      <c r="F256" s="71"/>
      <c r="G256" s="70"/>
    </row>
    <row r="257" spans="4:7" x14ac:dyDescent="0.25">
      <c r="D257" s="70"/>
      <c r="E257" s="70"/>
      <c r="F257" s="71"/>
      <c r="G257" s="70"/>
    </row>
    <row r="258" spans="4:7" x14ac:dyDescent="0.25">
      <c r="D258" s="70"/>
      <c r="E258" s="70"/>
      <c r="F258" s="71"/>
      <c r="G258" s="70"/>
    </row>
    <row r="259" spans="4:7" x14ac:dyDescent="0.25">
      <c r="D259" s="70"/>
      <c r="E259" s="70"/>
      <c r="F259" s="71"/>
      <c r="G259" s="70"/>
    </row>
    <row r="260" spans="4:7" x14ac:dyDescent="0.25">
      <c r="D260" s="70"/>
      <c r="E260" s="70"/>
      <c r="F260" s="71"/>
      <c r="G260" s="70"/>
    </row>
    <row r="261" spans="4:7" x14ac:dyDescent="0.25">
      <c r="D261" s="70"/>
      <c r="E261" s="70"/>
      <c r="F261" s="71"/>
      <c r="G261" s="70"/>
    </row>
    <row r="262" spans="4:7" x14ac:dyDescent="0.25">
      <c r="D262" s="70"/>
      <c r="E262" s="70"/>
      <c r="F262" s="71"/>
      <c r="G262" s="70"/>
    </row>
    <row r="263" spans="4:7" x14ac:dyDescent="0.25">
      <c r="D263" s="70"/>
      <c r="E263" s="70"/>
      <c r="F263" s="71"/>
      <c r="G263" s="70"/>
    </row>
    <row r="264" spans="4:7" x14ac:dyDescent="0.25">
      <c r="D264" s="70"/>
      <c r="E264" s="70"/>
      <c r="F264" s="71"/>
      <c r="G264" s="70"/>
    </row>
    <row r="265" spans="4:7" x14ac:dyDescent="0.25">
      <c r="D265" s="70"/>
      <c r="E265" s="70"/>
      <c r="F265" s="71"/>
      <c r="G265" s="70"/>
    </row>
    <row r="266" spans="4:7" x14ac:dyDescent="0.25">
      <c r="D266" s="70"/>
      <c r="E266" s="70"/>
      <c r="F266" s="71"/>
      <c r="G266" s="70"/>
    </row>
    <row r="267" spans="4:7" x14ac:dyDescent="0.25">
      <c r="D267" s="70"/>
      <c r="E267" s="70"/>
      <c r="F267" s="71"/>
      <c r="G267" s="70"/>
    </row>
    <row r="268" spans="4:7" x14ac:dyDescent="0.25">
      <c r="D268" s="70"/>
      <c r="E268" s="70"/>
      <c r="F268" s="71"/>
      <c r="G268" s="70"/>
    </row>
    <row r="269" spans="4:7" x14ac:dyDescent="0.25">
      <c r="D269" s="70"/>
      <c r="E269" s="70"/>
      <c r="F269" s="71"/>
      <c r="G269" s="70"/>
    </row>
    <row r="270" spans="4:7" x14ac:dyDescent="0.25">
      <c r="D270" s="70"/>
      <c r="E270" s="70"/>
      <c r="F270" s="71"/>
      <c r="G270" s="70"/>
    </row>
    <row r="271" spans="4:7" x14ac:dyDescent="0.25">
      <c r="D271" s="70"/>
      <c r="E271" s="70"/>
      <c r="F271" s="71"/>
      <c r="G271" s="70"/>
    </row>
    <row r="272" spans="4:7" x14ac:dyDescent="0.25">
      <c r="D272" s="70"/>
      <c r="E272" s="70"/>
      <c r="F272" s="71"/>
      <c r="G272" s="70"/>
    </row>
    <row r="273" spans="4:7" x14ac:dyDescent="0.25">
      <c r="D273" s="70"/>
      <c r="E273" s="70"/>
      <c r="F273" s="71"/>
      <c r="G273" s="70"/>
    </row>
    <row r="274" spans="4:7" x14ac:dyDescent="0.25">
      <c r="D274" s="70"/>
      <c r="E274" s="70"/>
      <c r="F274" s="71"/>
      <c r="G274" s="70"/>
    </row>
    <row r="275" spans="4:7" x14ac:dyDescent="0.25">
      <c r="D275" s="70"/>
      <c r="E275" s="70"/>
      <c r="F275" s="71"/>
      <c r="G275" s="70"/>
    </row>
    <row r="276" spans="4:7" x14ac:dyDescent="0.25">
      <c r="D276" s="70"/>
      <c r="E276" s="70"/>
      <c r="F276" s="71"/>
      <c r="G276" s="70"/>
    </row>
    <row r="277" spans="4:7" x14ac:dyDescent="0.25">
      <c r="D277" s="70"/>
      <c r="E277" s="70"/>
      <c r="F277" s="71"/>
      <c r="G277" s="70"/>
    </row>
    <row r="278" spans="4:7" x14ac:dyDescent="0.25">
      <c r="D278" s="70"/>
      <c r="E278" s="70"/>
      <c r="F278" s="71"/>
      <c r="G278" s="70"/>
    </row>
    <row r="279" spans="4:7" x14ac:dyDescent="0.25">
      <c r="D279" s="70"/>
      <c r="E279" s="70"/>
      <c r="F279" s="71"/>
      <c r="G279" s="70"/>
    </row>
    <row r="280" spans="4:7" x14ac:dyDescent="0.25">
      <c r="D280" s="70"/>
      <c r="E280" s="70"/>
      <c r="F280" s="71"/>
      <c r="G280" s="70"/>
    </row>
    <row r="281" spans="4:7" x14ac:dyDescent="0.25">
      <c r="D281" s="70"/>
      <c r="E281" s="70"/>
      <c r="F281" s="71"/>
      <c r="G281" s="70"/>
    </row>
    <row r="282" spans="4:7" x14ac:dyDescent="0.25">
      <c r="D282" s="70"/>
      <c r="E282" s="70"/>
      <c r="F282" s="71"/>
      <c r="G282" s="70"/>
    </row>
    <row r="283" spans="4:7" x14ac:dyDescent="0.25">
      <c r="D283" s="70"/>
      <c r="E283" s="70"/>
      <c r="F283" s="71"/>
      <c r="G283" s="70"/>
    </row>
    <row r="284" spans="4:7" x14ac:dyDescent="0.25">
      <c r="D284" s="70"/>
      <c r="E284" s="70"/>
      <c r="F284" s="71"/>
      <c r="G284" s="70"/>
    </row>
    <row r="285" spans="4:7" x14ac:dyDescent="0.25">
      <c r="D285" s="70"/>
      <c r="E285" s="70"/>
      <c r="F285" s="71"/>
      <c r="G285" s="70"/>
    </row>
    <row r="286" spans="4:7" x14ac:dyDescent="0.25">
      <c r="D286" s="70"/>
      <c r="E286" s="70"/>
      <c r="F286" s="71"/>
      <c r="G286" s="70"/>
    </row>
    <row r="287" spans="4:7" x14ac:dyDescent="0.25">
      <c r="D287" s="70"/>
      <c r="E287" s="70"/>
      <c r="F287" s="71"/>
      <c r="G287" s="70"/>
    </row>
    <row r="288" spans="4:7" x14ac:dyDescent="0.25">
      <c r="D288" s="70"/>
      <c r="E288" s="70"/>
      <c r="F288" s="71"/>
      <c r="G288" s="70"/>
    </row>
    <row r="289" spans="4:7" x14ac:dyDescent="0.25">
      <c r="D289" s="70"/>
      <c r="E289" s="70"/>
      <c r="F289" s="71"/>
      <c r="G289" s="70"/>
    </row>
    <row r="290" spans="4:7" x14ac:dyDescent="0.25">
      <c r="D290" s="70"/>
      <c r="E290" s="70"/>
      <c r="F290" s="71"/>
      <c r="G290" s="70"/>
    </row>
    <row r="291" spans="4:7" x14ac:dyDescent="0.25">
      <c r="D291" s="70"/>
      <c r="E291" s="70"/>
      <c r="F291" s="71"/>
      <c r="G291" s="70"/>
    </row>
    <row r="292" spans="4:7" x14ac:dyDescent="0.25">
      <c r="D292" s="70"/>
      <c r="E292" s="70"/>
      <c r="F292" s="71"/>
      <c r="G292" s="70"/>
    </row>
    <row r="293" spans="4:7" x14ac:dyDescent="0.25">
      <c r="D293" s="70"/>
      <c r="E293" s="70"/>
      <c r="F293" s="71"/>
      <c r="G293" s="70"/>
    </row>
    <row r="294" spans="4:7" x14ac:dyDescent="0.25">
      <c r="D294" s="70"/>
      <c r="E294" s="70"/>
      <c r="F294" s="71"/>
      <c r="G294" s="70"/>
    </row>
    <row r="295" spans="4:7" x14ac:dyDescent="0.25">
      <c r="D295" s="70"/>
      <c r="E295" s="70"/>
      <c r="F295" s="71"/>
      <c r="G295" s="70"/>
    </row>
    <row r="296" spans="4:7" x14ac:dyDescent="0.25">
      <c r="D296" s="70"/>
      <c r="E296" s="70"/>
      <c r="F296" s="71"/>
      <c r="G296" s="70"/>
    </row>
    <row r="297" spans="4:7" x14ac:dyDescent="0.25">
      <c r="D297" s="70"/>
      <c r="E297" s="70"/>
      <c r="F297" s="71"/>
      <c r="G297" s="70"/>
    </row>
    <row r="298" spans="4:7" x14ac:dyDescent="0.25">
      <c r="D298" s="70"/>
      <c r="E298" s="70"/>
      <c r="F298" s="71"/>
      <c r="G298" s="70"/>
    </row>
    <row r="299" spans="4:7" x14ac:dyDescent="0.25">
      <c r="D299" s="70"/>
      <c r="E299" s="70"/>
      <c r="F299" s="71"/>
      <c r="G299" s="70"/>
    </row>
    <row r="300" spans="4:7" x14ac:dyDescent="0.25">
      <c r="D300" s="70"/>
      <c r="E300" s="70"/>
      <c r="F300" s="71"/>
      <c r="G300" s="70"/>
    </row>
    <row r="301" spans="4:7" x14ac:dyDescent="0.25">
      <c r="D301" s="70"/>
      <c r="E301" s="70"/>
      <c r="F301" s="71"/>
      <c r="G301" s="70"/>
    </row>
    <row r="302" spans="4:7" x14ac:dyDescent="0.25">
      <c r="D302" s="70"/>
      <c r="E302" s="70"/>
      <c r="F302" s="71"/>
      <c r="G302" s="70"/>
    </row>
    <row r="303" spans="4:7" x14ac:dyDescent="0.25">
      <c r="D303" s="70"/>
      <c r="E303" s="70"/>
      <c r="F303" s="71"/>
      <c r="G303" s="70"/>
    </row>
    <row r="304" spans="4:7" x14ac:dyDescent="0.25">
      <c r="D304" s="70"/>
      <c r="E304" s="70"/>
      <c r="F304" s="71"/>
      <c r="G304" s="70"/>
    </row>
    <row r="305" spans="4:7" x14ac:dyDescent="0.25">
      <c r="D305" s="70"/>
      <c r="E305" s="70"/>
      <c r="F305" s="71"/>
      <c r="G305" s="70"/>
    </row>
    <row r="306" spans="4:7" x14ac:dyDescent="0.25">
      <c r="D306" s="70"/>
      <c r="E306" s="70"/>
      <c r="F306" s="71"/>
      <c r="G306" s="70"/>
    </row>
    <row r="307" spans="4:7" x14ac:dyDescent="0.25">
      <c r="D307" s="70"/>
      <c r="E307" s="70"/>
      <c r="F307" s="71"/>
      <c r="G307" s="70"/>
    </row>
    <row r="308" spans="4:7" x14ac:dyDescent="0.25">
      <c r="D308" s="70"/>
      <c r="E308" s="70"/>
      <c r="F308" s="71"/>
      <c r="G308" s="70"/>
    </row>
    <row r="309" spans="4:7" x14ac:dyDescent="0.25">
      <c r="D309" s="70"/>
      <c r="E309" s="70"/>
      <c r="F309" s="71"/>
      <c r="G309" s="70"/>
    </row>
    <row r="310" spans="4:7" x14ac:dyDescent="0.25">
      <c r="D310" s="70"/>
      <c r="E310" s="70"/>
      <c r="F310" s="71"/>
      <c r="G310" s="70"/>
    </row>
    <row r="311" spans="4:7" x14ac:dyDescent="0.25">
      <c r="D311" s="70"/>
      <c r="E311" s="70"/>
      <c r="F311" s="71"/>
      <c r="G311" s="70"/>
    </row>
    <row r="312" spans="4:7" x14ac:dyDescent="0.25">
      <c r="D312" s="70"/>
      <c r="E312" s="70"/>
      <c r="F312" s="71"/>
      <c r="G312" s="70"/>
    </row>
    <row r="313" spans="4:7" x14ac:dyDescent="0.25">
      <c r="D313" s="70"/>
      <c r="E313" s="70"/>
      <c r="F313" s="71"/>
      <c r="G313" s="70"/>
    </row>
    <row r="314" spans="4:7" x14ac:dyDescent="0.25">
      <c r="D314" s="70"/>
      <c r="E314" s="70"/>
      <c r="F314" s="71"/>
      <c r="G314" s="70"/>
    </row>
    <row r="315" spans="4:7" x14ac:dyDescent="0.25">
      <c r="D315" s="70"/>
      <c r="E315" s="70"/>
      <c r="F315" s="71"/>
      <c r="G315" s="70"/>
    </row>
    <row r="316" spans="4:7" x14ac:dyDescent="0.25">
      <c r="D316" s="70"/>
      <c r="E316" s="70"/>
      <c r="F316" s="71"/>
      <c r="G316" s="70"/>
    </row>
    <row r="317" spans="4:7" x14ac:dyDescent="0.25">
      <c r="D317" s="70"/>
      <c r="E317" s="70"/>
      <c r="F317" s="71"/>
      <c r="G317" s="70"/>
    </row>
    <row r="318" spans="4:7" x14ac:dyDescent="0.25">
      <c r="D318" s="70"/>
      <c r="E318" s="70"/>
      <c r="F318" s="71"/>
      <c r="G318" s="70"/>
    </row>
    <row r="319" spans="4:7" x14ac:dyDescent="0.25">
      <c r="D319" s="70"/>
      <c r="E319" s="70"/>
      <c r="F319" s="71"/>
      <c r="G319" s="70"/>
    </row>
    <row r="320" spans="4:7" x14ac:dyDescent="0.25">
      <c r="D320" s="70"/>
      <c r="E320" s="70"/>
      <c r="F320" s="71"/>
      <c r="G320" s="70"/>
    </row>
    <row r="321" spans="4:7" x14ac:dyDescent="0.25">
      <c r="D321" s="70"/>
      <c r="E321" s="70"/>
      <c r="F321" s="71"/>
      <c r="G321" s="70"/>
    </row>
    <row r="322" spans="4:7" x14ac:dyDescent="0.25">
      <c r="D322" s="70"/>
      <c r="E322" s="70"/>
      <c r="F322" s="71"/>
      <c r="G322" s="70"/>
    </row>
    <row r="323" spans="4:7" x14ac:dyDescent="0.25">
      <c r="D323" s="70"/>
      <c r="E323" s="70"/>
      <c r="F323" s="71"/>
      <c r="G323" s="70"/>
    </row>
    <row r="324" spans="4:7" x14ac:dyDescent="0.25">
      <c r="D324" s="70"/>
      <c r="E324" s="70"/>
      <c r="F324" s="71"/>
      <c r="G324" s="70"/>
    </row>
    <row r="325" spans="4:7" x14ac:dyDescent="0.25">
      <c r="D325" s="70"/>
      <c r="E325" s="70"/>
      <c r="F325" s="71"/>
      <c r="G325" s="70"/>
    </row>
    <row r="326" spans="4:7" x14ac:dyDescent="0.25">
      <c r="D326" s="70"/>
      <c r="E326" s="70"/>
      <c r="F326" s="71"/>
      <c r="G326" s="70"/>
    </row>
    <row r="327" spans="4:7" x14ac:dyDescent="0.25">
      <c r="D327" s="70"/>
      <c r="E327" s="70"/>
      <c r="F327" s="71"/>
      <c r="G327" s="70"/>
    </row>
    <row r="328" spans="4:7" x14ac:dyDescent="0.25">
      <c r="D328" s="70"/>
      <c r="E328" s="70"/>
      <c r="F328" s="71"/>
      <c r="G328" s="70"/>
    </row>
    <row r="329" spans="4:7" x14ac:dyDescent="0.25">
      <c r="D329" s="70"/>
      <c r="E329" s="70"/>
      <c r="F329" s="71"/>
      <c r="G329" s="70"/>
    </row>
    <row r="330" spans="4:7" x14ac:dyDescent="0.25">
      <c r="D330" s="70"/>
      <c r="E330" s="70"/>
      <c r="F330" s="71"/>
      <c r="G330" s="70"/>
    </row>
    <row r="331" spans="4:7" x14ac:dyDescent="0.25">
      <c r="D331" s="70"/>
      <c r="E331" s="70"/>
      <c r="F331" s="71"/>
      <c r="G331" s="70"/>
    </row>
    <row r="332" spans="4:7" x14ac:dyDescent="0.25">
      <c r="D332" s="70"/>
      <c r="E332" s="70"/>
      <c r="F332" s="71"/>
      <c r="G332" s="70"/>
    </row>
    <row r="333" spans="4:7" x14ac:dyDescent="0.25">
      <c r="D333" s="70"/>
      <c r="E333" s="70"/>
      <c r="F333" s="71"/>
      <c r="G333" s="70"/>
    </row>
    <row r="334" spans="4:7" x14ac:dyDescent="0.25">
      <c r="D334" s="70"/>
      <c r="E334" s="70"/>
      <c r="F334" s="71"/>
      <c r="G334" s="70"/>
    </row>
    <row r="335" spans="4:7" x14ac:dyDescent="0.25">
      <c r="D335" s="70"/>
      <c r="E335" s="70"/>
      <c r="F335" s="71"/>
      <c r="G335" s="70"/>
    </row>
    <row r="336" spans="4:7" x14ac:dyDescent="0.25">
      <c r="D336" s="70"/>
      <c r="E336" s="70"/>
      <c r="F336" s="71"/>
      <c r="G336" s="70"/>
    </row>
    <row r="337" spans="4:7" x14ac:dyDescent="0.25">
      <c r="D337" s="70"/>
      <c r="E337" s="70"/>
      <c r="F337" s="71"/>
      <c r="G337" s="70"/>
    </row>
    <row r="338" spans="4:7" x14ac:dyDescent="0.25">
      <c r="D338" s="70"/>
      <c r="E338" s="70"/>
      <c r="F338" s="71"/>
      <c r="G338" s="70"/>
    </row>
    <row r="339" spans="4:7" x14ac:dyDescent="0.25">
      <c r="D339" s="70"/>
      <c r="E339" s="70"/>
      <c r="F339" s="71"/>
      <c r="G339" s="70"/>
    </row>
    <row r="340" spans="4:7" x14ac:dyDescent="0.25">
      <c r="D340" s="70"/>
      <c r="E340" s="70"/>
      <c r="F340" s="71"/>
      <c r="G340" s="70"/>
    </row>
    <row r="341" spans="4:7" x14ac:dyDescent="0.25">
      <c r="D341" s="70"/>
      <c r="E341" s="70"/>
      <c r="F341" s="71"/>
      <c r="G341" s="70"/>
    </row>
    <row r="342" spans="4:7" x14ac:dyDescent="0.25">
      <c r="D342" s="70"/>
      <c r="E342" s="70"/>
      <c r="F342" s="71"/>
      <c r="G342" s="70"/>
    </row>
    <row r="343" spans="4:7" x14ac:dyDescent="0.25">
      <c r="D343" s="70"/>
      <c r="E343" s="70"/>
      <c r="F343" s="71"/>
      <c r="G343" s="70"/>
    </row>
    <row r="344" spans="4:7" x14ac:dyDescent="0.25">
      <c r="D344" s="70"/>
      <c r="E344" s="70"/>
      <c r="F344" s="71"/>
      <c r="G344" s="70"/>
    </row>
    <row r="345" spans="4:7" x14ac:dyDescent="0.25">
      <c r="D345" s="70"/>
      <c r="E345" s="70"/>
      <c r="F345" s="71"/>
      <c r="G345" s="70"/>
    </row>
    <row r="346" spans="4:7" x14ac:dyDescent="0.25">
      <c r="D346" s="70"/>
      <c r="E346" s="70"/>
      <c r="F346" s="71"/>
      <c r="G346" s="70"/>
    </row>
    <row r="347" spans="4:7" x14ac:dyDescent="0.25">
      <c r="D347" s="70"/>
      <c r="E347" s="70"/>
      <c r="F347" s="71"/>
      <c r="G347" s="70"/>
    </row>
    <row r="348" spans="4:7" x14ac:dyDescent="0.25">
      <c r="D348" s="70"/>
      <c r="E348" s="70"/>
      <c r="F348" s="71"/>
      <c r="G348" s="70"/>
    </row>
    <row r="349" spans="4:7" x14ac:dyDescent="0.25">
      <c r="D349" s="70"/>
      <c r="E349" s="70"/>
      <c r="F349" s="71"/>
      <c r="G349" s="70"/>
    </row>
    <row r="350" spans="4:7" x14ac:dyDescent="0.25">
      <c r="D350" s="70"/>
      <c r="E350" s="70"/>
      <c r="F350" s="71"/>
      <c r="G350" s="70"/>
    </row>
    <row r="351" spans="4:7" x14ac:dyDescent="0.25">
      <c r="D351" s="70"/>
      <c r="E351" s="70"/>
      <c r="F351" s="71"/>
      <c r="G351" s="70"/>
    </row>
    <row r="352" spans="4:7" x14ac:dyDescent="0.25">
      <c r="D352" s="70"/>
      <c r="E352" s="70"/>
      <c r="F352" s="71"/>
      <c r="G352" s="70"/>
    </row>
    <row r="353" spans="4:7" x14ac:dyDescent="0.25">
      <c r="D353" s="70"/>
      <c r="E353" s="70"/>
      <c r="F353" s="71"/>
      <c r="G353" s="70"/>
    </row>
    <row r="354" spans="4:7" x14ac:dyDescent="0.25">
      <c r="D354" s="70"/>
      <c r="E354" s="70"/>
      <c r="F354" s="71"/>
      <c r="G354" s="70"/>
    </row>
    <row r="355" spans="4:7" x14ac:dyDescent="0.25">
      <c r="D355" s="70"/>
      <c r="E355" s="70"/>
      <c r="F355" s="71"/>
      <c r="G355" s="70"/>
    </row>
    <row r="356" spans="4:7" x14ac:dyDescent="0.25">
      <c r="D356" s="70"/>
      <c r="E356" s="70"/>
      <c r="F356" s="71"/>
      <c r="G356" s="70"/>
    </row>
    <row r="357" spans="4:7" x14ac:dyDescent="0.25">
      <c r="D357" s="70"/>
      <c r="E357" s="70"/>
      <c r="F357" s="71"/>
      <c r="G357" s="70"/>
    </row>
    <row r="358" spans="4:7" x14ac:dyDescent="0.25">
      <c r="D358" s="70"/>
      <c r="E358" s="70"/>
      <c r="F358" s="71"/>
      <c r="G358" s="70"/>
    </row>
    <row r="359" spans="4:7" x14ac:dyDescent="0.25">
      <c r="D359" s="70"/>
      <c r="E359" s="70"/>
      <c r="F359" s="71"/>
      <c r="G359" s="70"/>
    </row>
    <row r="360" spans="4:7" x14ac:dyDescent="0.25">
      <c r="D360" s="70"/>
      <c r="E360" s="70"/>
      <c r="F360" s="71"/>
      <c r="G360" s="70"/>
    </row>
    <row r="361" spans="4:7" x14ac:dyDescent="0.25">
      <c r="D361" s="70"/>
      <c r="E361" s="70"/>
      <c r="F361" s="71"/>
      <c r="G361" s="70"/>
    </row>
    <row r="362" spans="4:7" x14ac:dyDescent="0.25">
      <c r="D362" s="70"/>
      <c r="E362" s="70"/>
      <c r="F362" s="71"/>
      <c r="G362" s="70"/>
    </row>
    <row r="363" spans="4:7" x14ac:dyDescent="0.25">
      <c r="D363" s="70"/>
      <c r="E363" s="70"/>
      <c r="F363" s="71"/>
      <c r="G363" s="70"/>
    </row>
    <row r="364" spans="4:7" x14ac:dyDescent="0.25">
      <c r="D364" s="70"/>
      <c r="E364" s="70"/>
      <c r="F364" s="71"/>
      <c r="G364" s="70"/>
    </row>
    <row r="365" spans="4:7" x14ac:dyDescent="0.25">
      <c r="D365" s="70"/>
      <c r="E365" s="70"/>
      <c r="F365" s="71"/>
      <c r="G365" s="70"/>
    </row>
    <row r="366" spans="4:7" x14ac:dyDescent="0.25">
      <c r="D366" s="70"/>
      <c r="E366" s="70"/>
      <c r="F366" s="71"/>
      <c r="G366" s="70"/>
    </row>
    <row r="367" spans="4:7" x14ac:dyDescent="0.25">
      <c r="D367" s="70"/>
      <c r="E367" s="70"/>
      <c r="F367" s="71"/>
      <c r="G367" s="70"/>
    </row>
    <row r="368" spans="4:7" x14ac:dyDescent="0.25">
      <c r="D368" s="70"/>
      <c r="E368" s="70"/>
      <c r="F368" s="71"/>
      <c r="G368" s="70"/>
    </row>
    <row r="369" spans="4:7" x14ac:dyDescent="0.25">
      <c r="D369" s="70"/>
      <c r="E369" s="70"/>
      <c r="F369" s="71"/>
      <c r="G369" s="70"/>
    </row>
    <row r="370" spans="4:7" x14ac:dyDescent="0.25">
      <c r="D370" s="70"/>
      <c r="E370" s="70"/>
      <c r="F370" s="71"/>
      <c r="G370" s="70"/>
    </row>
    <row r="371" spans="4:7" x14ac:dyDescent="0.25">
      <c r="D371" s="70"/>
      <c r="E371" s="70"/>
      <c r="F371" s="71"/>
      <c r="G371" s="70"/>
    </row>
    <row r="372" spans="4:7" x14ac:dyDescent="0.25">
      <c r="D372" s="70"/>
      <c r="E372" s="70"/>
      <c r="F372" s="71"/>
      <c r="G372" s="70"/>
    </row>
    <row r="373" spans="4:7" x14ac:dyDescent="0.25">
      <c r="D373" s="70"/>
      <c r="E373" s="70"/>
      <c r="F373" s="71"/>
      <c r="G373" s="70"/>
    </row>
    <row r="374" spans="4:7" x14ac:dyDescent="0.25">
      <c r="D374" s="70"/>
      <c r="E374" s="70"/>
      <c r="F374" s="71"/>
      <c r="G374" s="70"/>
    </row>
    <row r="375" spans="4:7" x14ac:dyDescent="0.25">
      <c r="D375" s="70"/>
      <c r="E375" s="70"/>
      <c r="F375" s="71"/>
      <c r="G375" s="70"/>
    </row>
    <row r="376" spans="4:7" x14ac:dyDescent="0.25">
      <c r="D376" s="70"/>
      <c r="E376" s="70"/>
      <c r="F376" s="71"/>
      <c r="G376" s="70"/>
    </row>
    <row r="377" spans="4:7" x14ac:dyDescent="0.25">
      <c r="D377" s="70"/>
      <c r="E377" s="70"/>
      <c r="F377" s="71"/>
      <c r="G377" s="70"/>
    </row>
    <row r="378" spans="4:7" x14ac:dyDescent="0.25">
      <c r="D378" s="70"/>
      <c r="E378" s="70"/>
      <c r="F378" s="71"/>
      <c r="G378" s="70"/>
    </row>
    <row r="379" spans="4:7" x14ac:dyDescent="0.25">
      <c r="D379" s="70"/>
      <c r="E379" s="70"/>
      <c r="F379" s="71"/>
      <c r="G379" s="70"/>
    </row>
    <row r="380" spans="4:7" x14ac:dyDescent="0.25">
      <c r="D380" s="70"/>
      <c r="E380" s="70"/>
      <c r="F380" s="71"/>
      <c r="G380" s="70"/>
    </row>
    <row r="381" spans="4:7" x14ac:dyDescent="0.25">
      <c r="D381" s="70"/>
      <c r="E381" s="70"/>
      <c r="F381" s="71"/>
      <c r="G381" s="70"/>
    </row>
    <row r="382" spans="4:7" x14ac:dyDescent="0.25">
      <c r="D382" s="70"/>
      <c r="E382" s="70"/>
      <c r="F382" s="71"/>
      <c r="G382" s="70"/>
    </row>
    <row r="383" spans="4:7" x14ac:dyDescent="0.25">
      <c r="D383" s="70"/>
      <c r="E383" s="70"/>
      <c r="F383" s="71"/>
      <c r="G383" s="70"/>
    </row>
    <row r="384" spans="4:7" x14ac:dyDescent="0.25">
      <c r="D384" s="70"/>
      <c r="E384" s="70"/>
      <c r="F384" s="71"/>
      <c r="G384" s="70"/>
    </row>
    <row r="385" spans="4:7" x14ac:dyDescent="0.25">
      <c r="D385" s="70"/>
      <c r="E385" s="70"/>
      <c r="F385" s="71"/>
      <c r="G385" s="70"/>
    </row>
    <row r="386" spans="4:7" x14ac:dyDescent="0.25">
      <c r="D386" s="70"/>
      <c r="E386" s="70"/>
      <c r="F386" s="71"/>
      <c r="G386" s="70"/>
    </row>
    <row r="387" spans="4:7" x14ac:dyDescent="0.25">
      <c r="D387" s="70"/>
      <c r="E387" s="70"/>
      <c r="F387" s="71"/>
      <c r="G387" s="70"/>
    </row>
    <row r="388" spans="4:7" x14ac:dyDescent="0.25">
      <c r="D388" s="70"/>
      <c r="E388" s="70"/>
      <c r="F388" s="71"/>
      <c r="G388" s="70"/>
    </row>
    <row r="389" spans="4:7" x14ac:dyDescent="0.25">
      <c r="D389" s="70"/>
      <c r="E389" s="70"/>
      <c r="F389" s="71"/>
      <c r="G389" s="70"/>
    </row>
    <row r="390" spans="4:7" x14ac:dyDescent="0.25">
      <c r="D390" s="70"/>
      <c r="E390" s="70"/>
      <c r="F390" s="71"/>
      <c r="G390" s="70"/>
    </row>
    <row r="391" spans="4:7" x14ac:dyDescent="0.25">
      <c r="D391" s="70"/>
      <c r="E391" s="70"/>
      <c r="F391" s="71"/>
      <c r="G391" s="70"/>
    </row>
    <row r="392" spans="4:7" x14ac:dyDescent="0.25">
      <c r="D392" s="70"/>
      <c r="E392" s="70"/>
      <c r="F392" s="71"/>
      <c r="G392" s="70"/>
    </row>
    <row r="393" spans="4:7" x14ac:dyDescent="0.25">
      <c r="D393" s="70"/>
      <c r="E393" s="70"/>
      <c r="F393" s="71"/>
      <c r="G393" s="70"/>
    </row>
    <row r="394" spans="4:7" x14ac:dyDescent="0.25">
      <c r="D394" s="70"/>
      <c r="E394" s="70"/>
      <c r="F394" s="71"/>
      <c r="G394" s="70"/>
    </row>
    <row r="395" spans="4:7" x14ac:dyDescent="0.25">
      <c r="D395" s="70"/>
      <c r="E395" s="70"/>
      <c r="F395" s="71"/>
      <c r="G395" s="70"/>
    </row>
    <row r="396" spans="4:7" x14ac:dyDescent="0.25">
      <c r="D396" s="70"/>
      <c r="E396" s="70"/>
      <c r="F396" s="71"/>
      <c r="G396" s="70"/>
    </row>
    <row r="397" spans="4:7" x14ac:dyDescent="0.25">
      <c r="D397" s="70"/>
      <c r="E397" s="70"/>
      <c r="F397" s="71"/>
      <c r="G397" s="70"/>
    </row>
    <row r="398" spans="4:7" x14ac:dyDescent="0.25">
      <c r="D398" s="70"/>
      <c r="E398" s="70"/>
      <c r="F398" s="71"/>
      <c r="G398" s="70"/>
    </row>
    <row r="399" spans="4:7" x14ac:dyDescent="0.25">
      <c r="D399" s="70"/>
      <c r="E399" s="70"/>
      <c r="F399" s="71"/>
      <c r="G399" s="70"/>
    </row>
    <row r="400" spans="4:7" x14ac:dyDescent="0.25">
      <c r="D400" s="70"/>
      <c r="E400" s="70"/>
      <c r="F400" s="71"/>
      <c r="G400" s="70"/>
    </row>
    <row r="401" spans="4:7" x14ac:dyDescent="0.25">
      <c r="D401" s="70"/>
      <c r="E401" s="70"/>
      <c r="F401" s="71"/>
      <c r="G401" s="70"/>
    </row>
    <row r="402" spans="4:7" x14ac:dyDescent="0.25">
      <c r="D402" s="70"/>
      <c r="E402" s="70"/>
      <c r="F402" s="71"/>
      <c r="G402" s="70"/>
    </row>
    <row r="403" spans="4:7" x14ac:dyDescent="0.25">
      <c r="D403" s="70"/>
      <c r="E403" s="70"/>
      <c r="F403" s="71"/>
      <c r="G403" s="70"/>
    </row>
    <row r="404" spans="4:7" x14ac:dyDescent="0.25">
      <c r="D404" s="70"/>
      <c r="E404" s="70"/>
      <c r="F404" s="71"/>
      <c r="G404" s="70"/>
    </row>
    <row r="405" spans="4:7" x14ac:dyDescent="0.25">
      <c r="D405" s="70"/>
      <c r="E405" s="70"/>
      <c r="F405" s="71"/>
      <c r="G405" s="70"/>
    </row>
    <row r="406" spans="4:7" x14ac:dyDescent="0.25">
      <c r="D406" s="70"/>
      <c r="E406" s="70"/>
      <c r="F406" s="71"/>
      <c r="G406" s="70"/>
    </row>
    <row r="407" spans="4:7" x14ac:dyDescent="0.25">
      <c r="D407" s="70"/>
      <c r="E407" s="70"/>
      <c r="F407" s="71"/>
      <c r="G407" s="70"/>
    </row>
    <row r="408" spans="4:7" x14ac:dyDescent="0.25">
      <c r="D408" s="70"/>
      <c r="E408" s="70"/>
      <c r="F408" s="71"/>
      <c r="G408" s="70"/>
    </row>
    <row r="409" spans="4:7" x14ac:dyDescent="0.25">
      <c r="D409" s="70"/>
      <c r="E409" s="70"/>
      <c r="F409" s="71"/>
      <c r="G409" s="70"/>
    </row>
    <row r="410" spans="4:7" x14ac:dyDescent="0.25">
      <c r="D410" s="70"/>
      <c r="E410" s="70"/>
      <c r="F410" s="71"/>
      <c r="G410" s="70"/>
    </row>
    <row r="411" spans="4:7" x14ac:dyDescent="0.25">
      <c r="D411" s="70"/>
      <c r="E411" s="70"/>
      <c r="F411" s="71"/>
      <c r="G411" s="70"/>
    </row>
    <row r="412" spans="4:7" x14ac:dyDescent="0.25">
      <c r="D412" s="70"/>
      <c r="E412" s="70"/>
      <c r="F412" s="71"/>
      <c r="G412" s="70"/>
    </row>
    <row r="413" spans="4:7" x14ac:dyDescent="0.25">
      <c r="D413" s="70"/>
      <c r="E413" s="70"/>
      <c r="F413" s="71"/>
      <c r="G413" s="70"/>
    </row>
    <row r="414" spans="4:7" x14ac:dyDescent="0.25">
      <c r="D414" s="70"/>
      <c r="E414" s="70"/>
      <c r="F414" s="71"/>
      <c r="G414" s="70"/>
    </row>
    <row r="415" spans="4:7" x14ac:dyDescent="0.25">
      <c r="D415" s="70"/>
      <c r="E415" s="70"/>
      <c r="F415" s="71"/>
      <c r="G415" s="70"/>
    </row>
    <row r="416" spans="4:7" x14ac:dyDescent="0.25">
      <c r="D416" s="70"/>
      <c r="E416" s="70"/>
      <c r="F416" s="71"/>
      <c r="G416" s="70"/>
    </row>
    <row r="417" spans="4:7" x14ac:dyDescent="0.25">
      <c r="D417" s="70"/>
      <c r="E417" s="70"/>
      <c r="F417" s="71"/>
      <c r="G417" s="70"/>
    </row>
    <row r="418" spans="4:7" x14ac:dyDescent="0.25">
      <c r="D418" s="70"/>
      <c r="E418" s="70"/>
      <c r="F418" s="71"/>
      <c r="G418" s="70"/>
    </row>
    <row r="419" spans="4:7" x14ac:dyDescent="0.25">
      <c r="D419" s="70"/>
      <c r="E419" s="70"/>
      <c r="F419" s="71"/>
      <c r="G419" s="70"/>
    </row>
    <row r="420" spans="4:7" x14ac:dyDescent="0.25">
      <c r="D420" s="70"/>
      <c r="E420" s="70"/>
      <c r="F420" s="71"/>
      <c r="G420" s="70"/>
    </row>
    <row r="421" spans="4:7" x14ac:dyDescent="0.25">
      <c r="D421" s="70"/>
      <c r="E421" s="70"/>
      <c r="F421" s="71"/>
      <c r="G421" s="70"/>
    </row>
    <row r="422" spans="4:7" x14ac:dyDescent="0.25">
      <c r="D422" s="70"/>
      <c r="E422" s="70"/>
      <c r="F422" s="71"/>
      <c r="G422" s="70"/>
    </row>
    <row r="423" spans="4:7" x14ac:dyDescent="0.25">
      <c r="D423" s="70"/>
      <c r="E423" s="70"/>
      <c r="F423" s="71"/>
      <c r="G423" s="70"/>
    </row>
    <row r="424" spans="4:7" x14ac:dyDescent="0.25">
      <c r="D424" s="70"/>
      <c r="E424" s="70"/>
      <c r="F424" s="71"/>
      <c r="G424" s="70"/>
    </row>
    <row r="425" spans="4:7" x14ac:dyDescent="0.25">
      <c r="D425" s="70"/>
      <c r="E425" s="70"/>
      <c r="F425" s="71"/>
      <c r="G425" s="70"/>
    </row>
    <row r="426" spans="4:7" x14ac:dyDescent="0.25">
      <c r="D426" s="70"/>
      <c r="E426" s="70"/>
      <c r="F426" s="71"/>
      <c r="G426" s="70"/>
    </row>
    <row r="427" spans="4:7" x14ac:dyDescent="0.25">
      <c r="D427" s="70"/>
      <c r="E427" s="70"/>
      <c r="F427" s="71"/>
      <c r="G427" s="70"/>
    </row>
    <row r="428" spans="4:7" x14ac:dyDescent="0.25">
      <c r="D428" s="70"/>
      <c r="E428" s="70"/>
      <c r="F428" s="71"/>
      <c r="G428" s="70"/>
    </row>
    <row r="429" spans="4:7" x14ac:dyDescent="0.25">
      <c r="D429" s="70"/>
      <c r="E429" s="70"/>
      <c r="F429" s="71"/>
      <c r="G429" s="70"/>
    </row>
    <row r="430" spans="4:7" x14ac:dyDescent="0.25">
      <c r="D430" s="70"/>
      <c r="E430" s="70"/>
      <c r="F430" s="71"/>
      <c r="G430" s="70"/>
    </row>
    <row r="431" spans="4:7" x14ac:dyDescent="0.25">
      <c r="D431" s="70"/>
      <c r="E431" s="70"/>
      <c r="F431" s="71"/>
      <c r="G431" s="70"/>
    </row>
    <row r="432" spans="4:7" x14ac:dyDescent="0.25">
      <c r="D432" s="70"/>
      <c r="E432" s="70"/>
      <c r="F432" s="71"/>
      <c r="G432" s="70"/>
    </row>
    <row r="433" spans="4:7" x14ac:dyDescent="0.25">
      <c r="D433" s="70"/>
      <c r="E433" s="70"/>
      <c r="F433" s="71"/>
      <c r="G433" s="70"/>
    </row>
    <row r="434" spans="4:7" x14ac:dyDescent="0.25">
      <c r="D434" s="70"/>
      <c r="E434" s="70"/>
      <c r="F434" s="71"/>
      <c r="G434" s="70"/>
    </row>
    <row r="435" spans="4:7" x14ac:dyDescent="0.25">
      <c r="D435" s="70"/>
      <c r="E435" s="70"/>
      <c r="F435" s="71"/>
      <c r="G435" s="70"/>
    </row>
    <row r="436" spans="4:7" x14ac:dyDescent="0.25">
      <c r="D436" s="70"/>
      <c r="E436" s="70"/>
      <c r="F436" s="71"/>
      <c r="G436" s="70"/>
    </row>
    <row r="437" spans="4:7" x14ac:dyDescent="0.25">
      <c r="D437" s="70"/>
      <c r="E437" s="70"/>
      <c r="F437" s="71"/>
      <c r="G437" s="70"/>
    </row>
    <row r="438" spans="4:7" x14ac:dyDescent="0.25">
      <c r="D438" s="70"/>
      <c r="E438" s="70"/>
      <c r="F438" s="71"/>
      <c r="G438" s="70"/>
    </row>
    <row r="439" spans="4:7" x14ac:dyDescent="0.25">
      <c r="D439" s="70"/>
      <c r="E439" s="70"/>
      <c r="F439" s="71"/>
      <c r="G439" s="70"/>
    </row>
    <row r="440" spans="4:7" x14ac:dyDescent="0.25">
      <c r="D440" s="70"/>
      <c r="E440" s="70"/>
      <c r="F440" s="71"/>
      <c r="G440" s="70"/>
    </row>
    <row r="441" spans="4:7" x14ac:dyDescent="0.25">
      <c r="D441" s="70"/>
      <c r="E441" s="70"/>
      <c r="F441" s="71"/>
      <c r="G441" s="70"/>
    </row>
    <row r="442" spans="4:7" x14ac:dyDescent="0.25">
      <c r="D442" s="70"/>
      <c r="E442" s="70"/>
      <c r="F442" s="71"/>
      <c r="G442" s="70"/>
    </row>
    <row r="443" spans="4:7" x14ac:dyDescent="0.25">
      <c r="D443" s="70"/>
      <c r="E443" s="70"/>
      <c r="F443" s="71"/>
      <c r="G443" s="70"/>
    </row>
    <row r="444" spans="4:7" x14ac:dyDescent="0.25">
      <c r="D444" s="70"/>
      <c r="E444" s="70"/>
      <c r="F444" s="71"/>
      <c r="G444" s="70"/>
    </row>
    <row r="445" spans="4:7" x14ac:dyDescent="0.25">
      <c r="D445" s="70"/>
      <c r="E445" s="70"/>
      <c r="F445" s="71"/>
      <c r="G445" s="70"/>
    </row>
    <row r="446" spans="4:7" x14ac:dyDescent="0.25">
      <c r="D446" s="70"/>
      <c r="E446" s="70"/>
      <c r="F446" s="71"/>
      <c r="G446" s="70"/>
    </row>
    <row r="447" spans="4:7" x14ac:dyDescent="0.25">
      <c r="D447" s="70"/>
      <c r="E447" s="70"/>
      <c r="F447" s="71"/>
      <c r="G447" s="70"/>
    </row>
    <row r="448" spans="4:7" x14ac:dyDescent="0.25">
      <c r="D448" s="70"/>
      <c r="E448" s="70"/>
      <c r="F448" s="71"/>
      <c r="G448" s="70"/>
    </row>
    <row r="449" spans="4:7" x14ac:dyDescent="0.25">
      <c r="D449" s="70"/>
      <c r="E449" s="70"/>
      <c r="F449" s="71"/>
      <c r="G449" s="70"/>
    </row>
    <row r="450" spans="4:7" x14ac:dyDescent="0.25">
      <c r="D450" s="70"/>
      <c r="E450" s="70"/>
      <c r="F450" s="71"/>
      <c r="G450" s="70"/>
    </row>
    <row r="451" spans="4:7" x14ac:dyDescent="0.25">
      <c r="D451" s="70"/>
      <c r="E451" s="70"/>
      <c r="F451" s="71"/>
      <c r="G451" s="70"/>
    </row>
    <row r="452" spans="4:7" x14ac:dyDescent="0.25">
      <c r="D452" s="70"/>
      <c r="E452" s="70"/>
      <c r="F452" s="71"/>
      <c r="G452" s="70"/>
    </row>
    <row r="453" spans="4:7" x14ac:dyDescent="0.25">
      <c r="D453" s="70"/>
      <c r="E453" s="70"/>
      <c r="F453" s="71"/>
      <c r="G453" s="70"/>
    </row>
    <row r="454" spans="4:7" x14ac:dyDescent="0.25">
      <c r="D454" s="70"/>
      <c r="E454" s="70"/>
      <c r="F454" s="71"/>
      <c r="G454" s="70"/>
    </row>
    <row r="455" spans="4:7" x14ac:dyDescent="0.25">
      <c r="D455" s="70"/>
      <c r="E455" s="70"/>
      <c r="F455" s="71"/>
      <c r="G455" s="70"/>
    </row>
    <row r="456" spans="4:7" x14ac:dyDescent="0.25">
      <c r="D456" s="70"/>
      <c r="E456" s="70"/>
      <c r="F456" s="71"/>
      <c r="G456" s="70"/>
    </row>
    <row r="457" spans="4:7" x14ac:dyDescent="0.25">
      <c r="D457" s="70"/>
      <c r="E457" s="70"/>
      <c r="F457" s="71"/>
      <c r="G457" s="70"/>
    </row>
    <row r="458" spans="4:7" x14ac:dyDescent="0.25">
      <c r="D458" s="70"/>
      <c r="E458" s="70"/>
      <c r="F458" s="71"/>
      <c r="G458" s="70"/>
    </row>
    <row r="459" spans="4:7" x14ac:dyDescent="0.25">
      <c r="D459" s="70"/>
      <c r="E459" s="70"/>
      <c r="F459" s="71"/>
      <c r="G459" s="70"/>
    </row>
    <row r="460" spans="4:7" x14ac:dyDescent="0.25">
      <c r="D460" s="70"/>
      <c r="E460" s="70"/>
      <c r="F460" s="71"/>
      <c r="G460" s="70"/>
    </row>
    <row r="461" spans="4:7" x14ac:dyDescent="0.25">
      <c r="D461" s="70"/>
      <c r="E461" s="70"/>
      <c r="F461" s="71"/>
      <c r="G461" s="70"/>
    </row>
    <row r="462" spans="4:7" x14ac:dyDescent="0.25">
      <c r="D462" s="70"/>
      <c r="E462" s="70"/>
      <c r="F462" s="71"/>
      <c r="G462" s="70"/>
    </row>
    <row r="463" spans="4:7" x14ac:dyDescent="0.25">
      <c r="D463" s="70"/>
      <c r="E463" s="70"/>
      <c r="F463" s="71"/>
      <c r="G463" s="70"/>
    </row>
    <row r="464" spans="4:7" x14ac:dyDescent="0.25">
      <c r="D464" s="70"/>
      <c r="E464" s="70"/>
      <c r="F464" s="71"/>
      <c r="G464" s="70"/>
    </row>
    <row r="465" spans="4:7" x14ac:dyDescent="0.25">
      <c r="D465" s="70"/>
      <c r="E465" s="70"/>
      <c r="F465" s="71"/>
      <c r="G465" s="70"/>
    </row>
    <row r="466" spans="4:7" x14ac:dyDescent="0.25">
      <c r="D466" s="70"/>
      <c r="E466" s="70"/>
      <c r="F466" s="71"/>
      <c r="G466" s="70"/>
    </row>
    <row r="467" spans="4:7" x14ac:dyDescent="0.25">
      <c r="D467" s="70"/>
      <c r="E467" s="70"/>
      <c r="F467" s="71"/>
      <c r="G467" s="70"/>
    </row>
    <row r="468" spans="4:7" x14ac:dyDescent="0.25">
      <c r="D468" s="70"/>
      <c r="E468" s="70"/>
      <c r="F468" s="71"/>
      <c r="G468" s="70"/>
    </row>
    <row r="469" spans="4:7" x14ac:dyDescent="0.25">
      <c r="D469" s="70"/>
      <c r="E469" s="70"/>
      <c r="F469" s="71"/>
      <c r="G469" s="70"/>
    </row>
    <row r="470" spans="4:7" x14ac:dyDescent="0.25">
      <c r="D470" s="70"/>
      <c r="E470" s="70"/>
      <c r="F470" s="71"/>
      <c r="G470" s="70"/>
    </row>
    <row r="471" spans="4:7" x14ac:dyDescent="0.25">
      <c r="D471" s="70"/>
      <c r="E471" s="70"/>
      <c r="F471" s="71"/>
      <c r="G471" s="70"/>
    </row>
    <row r="472" spans="4:7" x14ac:dyDescent="0.25">
      <c r="D472" s="70"/>
      <c r="E472" s="70"/>
      <c r="F472" s="71"/>
      <c r="G472" s="70"/>
    </row>
    <row r="473" spans="4:7" x14ac:dyDescent="0.25">
      <c r="D473" s="70"/>
      <c r="E473" s="70"/>
      <c r="F473" s="71"/>
      <c r="G473" s="70"/>
    </row>
    <row r="474" spans="4:7" x14ac:dyDescent="0.25">
      <c r="D474" s="70"/>
      <c r="E474" s="70"/>
      <c r="F474" s="71"/>
      <c r="G474" s="70"/>
    </row>
    <row r="475" spans="4:7" x14ac:dyDescent="0.25">
      <c r="D475" s="70"/>
      <c r="E475" s="70"/>
      <c r="F475" s="71"/>
      <c r="G475" s="70"/>
    </row>
    <row r="476" spans="4:7" x14ac:dyDescent="0.25">
      <c r="D476" s="70"/>
      <c r="E476" s="70"/>
      <c r="F476" s="71"/>
      <c r="G476" s="70"/>
    </row>
    <row r="477" spans="4:7" x14ac:dyDescent="0.25">
      <c r="D477" s="70"/>
      <c r="E477" s="70"/>
      <c r="F477" s="71"/>
      <c r="G477" s="70"/>
    </row>
    <row r="478" spans="4:7" x14ac:dyDescent="0.25">
      <c r="D478" s="70"/>
      <c r="E478" s="70"/>
      <c r="F478" s="71"/>
      <c r="G478" s="70"/>
    </row>
    <row r="479" spans="4:7" x14ac:dyDescent="0.25">
      <c r="D479" s="70"/>
      <c r="E479" s="70"/>
      <c r="F479" s="71"/>
      <c r="G479" s="70"/>
    </row>
    <row r="480" spans="4:7" x14ac:dyDescent="0.25">
      <c r="D480" s="70"/>
      <c r="E480" s="70"/>
      <c r="F480" s="71"/>
      <c r="G480" s="70"/>
    </row>
    <row r="481" spans="4:7" x14ac:dyDescent="0.25">
      <c r="D481" s="70"/>
      <c r="E481" s="70"/>
      <c r="F481" s="71"/>
      <c r="G481" s="70"/>
    </row>
    <row r="482" spans="4:7" x14ac:dyDescent="0.25">
      <c r="D482" s="70"/>
      <c r="E482" s="70"/>
      <c r="F482" s="71"/>
      <c r="G482" s="70"/>
    </row>
    <row r="483" spans="4:7" x14ac:dyDescent="0.25">
      <c r="D483" s="70"/>
      <c r="E483" s="70"/>
      <c r="F483" s="71"/>
      <c r="G483" s="70"/>
    </row>
    <row r="484" spans="4:7" x14ac:dyDescent="0.25">
      <c r="D484" s="70"/>
      <c r="E484" s="70"/>
      <c r="F484" s="71"/>
      <c r="G484" s="70"/>
    </row>
    <row r="485" spans="4:7" x14ac:dyDescent="0.25">
      <c r="D485" s="70"/>
      <c r="E485" s="70"/>
      <c r="F485" s="71"/>
      <c r="G485" s="70"/>
    </row>
    <row r="486" spans="4:7" x14ac:dyDescent="0.25">
      <c r="D486" s="70"/>
      <c r="E486" s="70"/>
      <c r="F486" s="71"/>
      <c r="G486" s="70"/>
    </row>
    <row r="487" spans="4:7" x14ac:dyDescent="0.25">
      <c r="D487" s="70"/>
      <c r="E487" s="70"/>
      <c r="F487" s="71"/>
      <c r="G487" s="70"/>
    </row>
    <row r="488" spans="4:7" x14ac:dyDescent="0.25">
      <c r="D488" s="70"/>
      <c r="E488" s="70"/>
      <c r="F488" s="71"/>
      <c r="G488" s="70"/>
    </row>
    <row r="489" spans="4:7" x14ac:dyDescent="0.25">
      <c r="D489" s="70"/>
      <c r="E489" s="70"/>
      <c r="F489" s="71"/>
      <c r="G489" s="70"/>
    </row>
    <row r="490" spans="4:7" x14ac:dyDescent="0.25">
      <c r="D490" s="70"/>
      <c r="E490" s="70"/>
      <c r="F490" s="71"/>
      <c r="G490" s="70"/>
    </row>
    <row r="491" spans="4:7" x14ac:dyDescent="0.25">
      <c r="D491" s="70"/>
      <c r="E491" s="70"/>
      <c r="F491" s="71"/>
      <c r="G491" s="70"/>
    </row>
    <row r="492" spans="4:7" x14ac:dyDescent="0.25">
      <c r="D492" s="70"/>
      <c r="E492" s="70"/>
      <c r="F492" s="71"/>
      <c r="G492" s="70"/>
    </row>
    <row r="493" spans="4:7" x14ac:dyDescent="0.25">
      <c r="D493" s="70"/>
      <c r="E493" s="70"/>
      <c r="F493" s="71"/>
      <c r="G493" s="70"/>
    </row>
    <row r="494" spans="4:7" x14ac:dyDescent="0.25">
      <c r="D494" s="70"/>
      <c r="E494" s="70"/>
      <c r="F494" s="71"/>
      <c r="G494" s="70"/>
    </row>
    <row r="495" spans="4:7" x14ac:dyDescent="0.25">
      <c r="D495" s="70"/>
      <c r="E495" s="70"/>
      <c r="F495" s="71"/>
      <c r="G495" s="70"/>
    </row>
    <row r="496" spans="4:7" x14ac:dyDescent="0.25">
      <c r="D496" s="70"/>
      <c r="E496" s="70"/>
      <c r="F496" s="71"/>
      <c r="G496" s="70"/>
    </row>
    <row r="497" spans="4:7" x14ac:dyDescent="0.25">
      <c r="D497" s="70"/>
      <c r="E497" s="70"/>
      <c r="F497" s="71"/>
      <c r="G497" s="70"/>
    </row>
    <row r="498" spans="4:7" x14ac:dyDescent="0.25">
      <c r="D498" s="70"/>
      <c r="E498" s="70"/>
      <c r="F498" s="71"/>
      <c r="G498" s="70"/>
    </row>
    <row r="499" spans="4:7" x14ac:dyDescent="0.25">
      <c r="D499" s="70"/>
      <c r="E499" s="70"/>
      <c r="F499" s="71"/>
      <c r="G499" s="70"/>
    </row>
    <row r="500" spans="4:7" x14ac:dyDescent="0.25">
      <c r="D500" s="70"/>
      <c r="E500" s="70"/>
      <c r="F500" s="71"/>
      <c r="G500" s="70"/>
    </row>
    <row r="501" spans="4:7" x14ac:dyDescent="0.25">
      <c r="D501" s="70"/>
      <c r="E501" s="70"/>
      <c r="F501" s="71"/>
      <c r="G501" s="70"/>
    </row>
    <row r="502" spans="4:7" x14ac:dyDescent="0.25">
      <c r="D502" s="70"/>
      <c r="E502" s="70"/>
      <c r="F502" s="71"/>
      <c r="G502" s="70"/>
    </row>
    <row r="503" spans="4:7" x14ac:dyDescent="0.25">
      <c r="D503" s="70"/>
      <c r="E503" s="70"/>
      <c r="F503" s="71"/>
      <c r="G503" s="70"/>
    </row>
    <row r="504" spans="4:7" x14ac:dyDescent="0.25">
      <c r="D504" s="70"/>
      <c r="E504" s="70"/>
      <c r="F504" s="71"/>
      <c r="G504" s="70"/>
    </row>
    <row r="505" spans="4:7" x14ac:dyDescent="0.25">
      <c r="D505" s="70"/>
      <c r="E505" s="70"/>
      <c r="F505" s="71"/>
      <c r="G505" s="70"/>
    </row>
    <row r="506" spans="4:7" x14ac:dyDescent="0.25">
      <c r="D506" s="70"/>
      <c r="E506" s="70"/>
      <c r="F506" s="71"/>
      <c r="G506" s="70"/>
    </row>
    <row r="507" spans="4:7" x14ac:dyDescent="0.25">
      <c r="D507" s="70"/>
      <c r="E507" s="70"/>
      <c r="F507" s="71"/>
      <c r="G507" s="70"/>
    </row>
    <row r="508" spans="4:7" x14ac:dyDescent="0.25">
      <c r="D508" s="70"/>
      <c r="E508" s="70"/>
      <c r="F508" s="71"/>
      <c r="G508" s="70"/>
    </row>
    <row r="509" spans="4:7" x14ac:dyDescent="0.25">
      <c r="D509" s="70"/>
      <c r="E509" s="70"/>
      <c r="F509" s="71"/>
      <c r="G509" s="70"/>
    </row>
    <row r="510" spans="4:7" x14ac:dyDescent="0.25">
      <c r="D510" s="70"/>
      <c r="E510" s="70"/>
      <c r="F510" s="71"/>
      <c r="G510" s="70"/>
    </row>
    <row r="511" spans="4:7" x14ac:dyDescent="0.25">
      <c r="D511" s="70"/>
      <c r="E511" s="70"/>
      <c r="F511" s="71"/>
      <c r="G511" s="70"/>
    </row>
    <row r="512" spans="4:7" x14ac:dyDescent="0.25">
      <c r="D512" s="70"/>
      <c r="E512" s="70"/>
      <c r="F512" s="71"/>
      <c r="G512" s="70"/>
    </row>
    <row r="513" spans="4:7" x14ac:dyDescent="0.25">
      <c r="D513" s="70"/>
      <c r="E513" s="70"/>
      <c r="F513" s="71"/>
      <c r="G513" s="70"/>
    </row>
    <row r="514" spans="4:7" x14ac:dyDescent="0.25">
      <c r="D514" s="70"/>
      <c r="E514" s="70"/>
      <c r="F514" s="71"/>
      <c r="G514" s="70"/>
    </row>
    <row r="515" spans="4:7" x14ac:dyDescent="0.25">
      <c r="D515" s="70"/>
      <c r="E515" s="70"/>
      <c r="F515" s="71"/>
      <c r="G515" s="70"/>
    </row>
    <row r="516" spans="4:7" x14ac:dyDescent="0.25">
      <c r="D516" s="70"/>
      <c r="E516" s="70"/>
      <c r="F516" s="71"/>
      <c r="G516" s="70"/>
    </row>
    <row r="517" spans="4:7" x14ac:dyDescent="0.25">
      <c r="D517" s="70"/>
      <c r="E517" s="70"/>
      <c r="F517" s="71"/>
      <c r="G517" s="70"/>
    </row>
    <row r="518" spans="4:7" x14ac:dyDescent="0.25">
      <c r="D518" s="70"/>
      <c r="E518" s="70"/>
      <c r="F518" s="71"/>
      <c r="G518" s="70"/>
    </row>
    <row r="519" spans="4:7" x14ac:dyDescent="0.25">
      <c r="D519" s="70"/>
      <c r="E519" s="70"/>
      <c r="F519" s="71"/>
      <c r="G519" s="70"/>
    </row>
    <row r="520" spans="4:7" x14ac:dyDescent="0.25">
      <c r="D520" s="70"/>
      <c r="E520" s="70"/>
      <c r="F520" s="71"/>
      <c r="G520" s="70"/>
    </row>
    <row r="521" spans="4:7" x14ac:dyDescent="0.25">
      <c r="D521" s="70"/>
      <c r="E521" s="70"/>
      <c r="F521" s="71"/>
      <c r="G521" s="70"/>
    </row>
    <row r="522" spans="4:7" x14ac:dyDescent="0.25">
      <c r="D522" s="70"/>
      <c r="E522" s="70"/>
      <c r="F522" s="71"/>
      <c r="G522" s="70"/>
    </row>
    <row r="523" spans="4:7" x14ac:dyDescent="0.25">
      <c r="D523" s="70"/>
      <c r="E523" s="70"/>
      <c r="F523" s="71"/>
      <c r="G523" s="70"/>
    </row>
    <row r="524" spans="4:7" x14ac:dyDescent="0.25">
      <c r="D524" s="70"/>
      <c r="E524" s="70"/>
      <c r="F524" s="71"/>
      <c r="G524" s="70"/>
    </row>
    <row r="525" spans="4:7" x14ac:dyDescent="0.25">
      <c r="D525" s="70"/>
      <c r="E525" s="70"/>
      <c r="F525" s="71"/>
      <c r="G525" s="70"/>
    </row>
    <row r="526" spans="4:7" x14ac:dyDescent="0.25">
      <c r="D526" s="70"/>
      <c r="E526" s="70"/>
      <c r="F526" s="71"/>
      <c r="G526" s="70"/>
    </row>
    <row r="527" spans="4:7" x14ac:dyDescent="0.25">
      <c r="D527" s="70"/>
      <c r="E527" s="70"/>
      <c r="F527" s="71"/>
      <c r="G527" s="70"/>
    </row>
    <row r="528" spans="4:7" x14ac:dyDescent="0.25">
      <c r="D528" s="70"/>
      <c r="E528" s="70"/>
      <c r="F528" s="71"/>
      <c r="G528" s="70"/>
    </row>
    <row r="529" spans="4:7" x14ac:dyDescent="0.25">
      <c r="D529" s="70"/>
      <c r="E529" s="70"/>
      <c r="F529" s="71"/>
      <c r="G529" s="70"/>
    </row>
    <row r="530" spans="4:7" x14ac:dyDescent="0.25">
      <c r="D530" s="70"/>
      <c r="E530" s="70"/>
      <c r="F530" s="71"/>
      <c r="G530" s="70"/>
    </row>
    <row r="531" spans="4:7" x14ac:dyDescent="0.25">
      <c r="D531" s="70"/>
      <c r="E531" s="70"/>
      <c r="F531" s="71"/>
      <c r="G531" s="70"/>
    </row>
    <row r="532" spans="4:7" x14ac:dyDescent="0.25">
      <c r="D532" s="70"/>
      <c r="E532" s="70"/>
      <c r="F532" s="71"/>
      <c r="G532" s="70"/>
    </row>
    <row r="533" spans="4:7" x14ac:dyDescent="0.25">
      <c r="D533" s="70"/>
      <c r="E533" s="70"/>
      <c r="F533" s="71"/>
      <c r="G533" s="70"/>
    </row>
    <row r="534" spans="4:7" x14ac:dyDescent="0.25">
      <c r="D534" s="70"/>
      <c r="E534" s="70"/>
      <c r="F534" s="71"/>
      <c r="G534" s="70"/>
    </row>
    <row r="535" spans="4:7" x14ac:dyDescent="0.25">
      <c r="D535" s="70"/>
      <c r="E535" s="70"/>
      <c r="F535" s="71"/>
      <c r="G535" s="70"/>
    </row>
    <row r="536" spans="4:7" x14ac:dyDescent="0.25">
      <c r="D536" s="70"/>
      <c r="E536" s="70"/>
      <c r="F536" s="71"/>
      <c r="G536" s="70"/>
    </row>
    <row r="537" spans="4:7" x14ac:dyDescent="0.25">
      <c r="D537" s="70"/>
      <c r="E537" s="70"/>
      <c r="F537" s="71"/>
      <c r="G537" s="70"/>
    </row>
    <row r="538" spans="4:7" x14ac:dyDescent="0.25">
      <c r="D538" s="70"/>
      <c r="E538" s="70"/>
      <c r="F538" s="71"/>
      <c r="G538" s="70"/>
    </row>
    <row r="539" spans="4:7" x14ac:dyDescent="0.25">
      <c r="D539" s="70"/>
      <c r="E539" s="70"/>
      <c r="F539" s="71"/>
      <c r="G539" s="70"/>
    </row>
    <row r="540" spans="4:7" x14ac:dyDescent="0.25">
      <c r="D540" s="70"/>
      <c r="E540" s="70"/>
      <c r="F540" s="71"/>
      <c r="G540" s="70"/>
    </row>
    <row r="541" spans="4:7" x14ac:dyDescent="0.25">
      <c r="D541" s="70"/>
      <c r="E541" s="70"/>
      <c r="F541" s="71"/>
      <c r="G541" s="70"/>
    </row>
    <row r="542" spans="4:7" x14ac:dyDescent="0.25">
      <c r="D542" s="70"/>
      <c r="E542" s="70"/>
      <c r="F542" s="71"/>
      <c r="G542" s="70"/>
    </row>
    <row r="543" spans="4:7" x14ac:dyDescent="0.25">
      <c r="D543" s="70"/>
      <c r="E543" s="70"/>
      <c r="F543" s="71"/>
      <c r="G543" s="70"/>
    </row>
    <row r="544" spans="4:7" x14ac:dyDescent="0.25">
      <c r="D544" s="70"/>
      <c r="E544" s="70"/>
      <c r="F544" s="71"/>
      <c r="G544" s="70"/>
    </row>
    <row r="545" spans="4:7" x14ac:dyDescent="0.25">
      <c r="D545" s="70"/>
      <c r="E545" s="70"/>
      <c r="F545" s="71"/>
      <c r="G545" s="70"/>
    </row>
    <row r="546" spans="4:7" x14ac:dyDescent="0.25">
      <c r="D546" s="70"/>
      <c r="E546" s="70"/>
      <c r="F546" s="71"/>
      <c r="G546" s="70"/>
    </row>
    <row r="547" spans="4:7" x14ac:dyDescent="0.25">
      <c r="D547" s="70"/>
      <c r="E547" s="70"/>
      <c r="F547" s="71"/>
      <c r="G547" s="70"/>
    </row>
    <row r="548" spans="4:7" x14ac:dyDescent="0.25">
      <c r="D548" s="70"/>
      <c r="E548" s="70"/>
      <c r="F548" s="71"/>
      <c r="G548" s="70"/>
    </row>
    <row r="549" spans="4:7" x14ac:dyDescent="0.25">
      <c r="D549" s="70"/>
      <c r="E549" s="70"/>
      <c r="F549" s="71"/>
      <c r="G549" s="70"/>
    </row>
    <row r="550" spans="4:7" x14ac:dyDescent="0.25">
      <c r="D550" s="70"/>
      <c r="E550" s="70"/>
      <c r="F550" s="71"/>
      <c r="G550" s="70"/>
    </row>
    <row r="551" spans="4:7" x14ac:dyDescent="0.25">
      <c r="D551" s="70"/>
      <c r="E551" s="70"/>
      <c r="F551" s="71"/>
      <c r="G551" s="70"/>
    </row>
    <row r="552" spans="4:7" x14ac:dyDescent="0.25">
      <c r="D552" s="70"/>
      <c r="E552" s="70"/>
      <c r="F552" s="71"/>
      <c r="G552" s="70"/>
    </row>
    <row r="553" spans="4:7" x14ac:dyDescent="0.25">
      <c r="D553" s="70"/>
      <c r="E553" s="70"/>
      <c r="F553" s="71"/>
      <c r="G553" s="70"/>
    </row>
    <row r="554" spans="4:7" x14ac:dyDescent="0.25">
      <c r="D554" s="70"/>
      <c r="E554" s="70"/>
      <c r="F554" s="71"/>
      <c r="G554" s="70"/>
    </row>
    <row r="555" spans="4:7" x14ac:dyDescent="0.25">
      <c r="D555" s="70"/>
      <c r="E555" s="70"/>
      <c r="F555" s="71"/>
      <c r="G555" s="70"/>
    </row>
    <row r="556" spans="4:7" x14ac:dyDescent="0.25">
      <c r="D556" s="70"/>
      <c r="E556" s="70"/>
      <c r="F556" s="71"/>
      <c r="G556" s="70"/>
    </row>
    <row r="557" spans="4:7" x14ac:dyDescent="0.25">
      <c r="D557" s="70"/>
      <c r="E557" s="70"/>
      <c r="F557" s="71"/>
      <c r="G557" s="70"/>
    </row>
    <row r="558" spans="4:7" x14ac:dyDescent="0.25">
      <c r="D558" s="70"/>
      <c r="E558" s="70"/>
      <c r="F558" s="71"/>
      <c r="G558" s="70"/>
    </row>
    <row r="559" spans="4:7" x14ac:dyDescent="0.25">
      <c r="D559" s="70"/>
      <c r="E559" s="70"/>
      <c r="F559" s="71"/>
      <c r="G559" s="70"/>
    </row>
    <row r="560" spans="4:7" x14ac:dyDescent="0.25">
      <c r="D560" s="70"/>
      <c r="E560" s="70"/>
      <c r="F560" s="71"/>
      <c r="G560" s="70"/>
    </row>
    <row r="561" spans="4:7" x14ac:dyDescent="0.25">
      <c r="D561" s="70"/>
      <c r="E561" s="70"/>
      <c r="F561" s="71"/>
      <c r="G561" s="70"/>
    </row>
    <row r="562" spans="4:7" x14ac:dyDescent="0.25">
      <c r="D562" s="70"/>
      <c r="E562" s="70"/>
      <c r="F562" s="71"/>
      <c r="G562" s="70"/>
    </row>
    <row r="563" spans="4:7" x14ac:dyDescent="0.25">
      <c r="D563" s="70"/>
      <c r="E563" s="70"/>
      <c r="F563" s="71"/>
      <c r="G563" s="70"/>
    </row>
    <row r="564" spans="4:7" x14ac:dyDescent="0.25">
      <c r="D564" s="70"/>
      <c r="E564" s="70"/>
      <c r="F564" s="71"/>
      <c r="G564" s="70"/>
    </row>
    <row r="565" spans="4:7" x14ac:dyDescent="0.25">
      <c r="D565" s="70"/>
      <c r="E565" s="70"/>
      <c r="F565" s="71"/>
      <c r="G565" s="70"/>
    </row>
    <row r="566" spans="4:7" x14ac:dyDescent="0.25">
      <c r="D566" s="70"/>
      <c r="E566" s="70"/>
      <c r="F566" s="71"/>
      <c r="G566" s="70"/>
    </row>
    <row r="567" spans="4:7" x14ac:dyDescent="0.25">
      <c r="D567" s="70"/>
      <c r="E567" s="70"/>
      <c r="F567" s="71"/>
      <c r="G567" s="70"/>
    </row>
    <row r="568" spans="4:7" x14ac:dyDescent="0.25">
      <c r="D568" s="70"/>
      <c r="E568" s="70"/>
      <c r="F568" s="71"/>
      <c r="G568" s="70"/>
    </row>
    <row r="569" spans="4:7" x14ac:dyDescent="0.25">
      <c r="D569" s="70"/>
      <c r="E569" s="70"/>
      <c r="F569" s="71"/>
      <c r="G569" s="70"/>
    </row>
    <row r="570" spans="4:7" x14ac:dyDescent="0.25">
      <c r="D570" s="70"/>
      <c r="E570" s="70"/>
      <c r="F570" s="71"/>
      <c r="G570" s="70"/>
    </row>
    <row r="571" spans="4:7" x14ac:dyDescent="0.25">
      <c r="D571" s="70"/>
      <c r="E571" s="70"/>
      <c r="F571" s="71"/>
      <c r="G571" s="70"/>
    </row>
    <row r="572" spans="4:7" x14ac:dyDescent="0.25">
      <c r="D572" s="70"/>
      <c r="E572" s="70"/>
      <c r="F572" s="71"/>
      <c r="G572" s="70"/>
    </row>
    <row r="573" spans="4:7" x14ac:dyDescent="0.25">
      <c r="D573" s="70"/>
      <c r="E573" s="70"/>
      <c r="F573" s="71"/>
      <c r="G573" s="70"/>
    </row>
    <row r="574" spans="4:7" x14ac:dyDescent="0.25">
      <c r="D574" s="70"/>
      <c r="E574" s="70"/>
      <c r="F574" s="71"/>
      <c r="G574" s="70"/>
    </row>
    <row r="575" spans="4:7" x14ac:dyDescent="0.25">
      <c r="D575" s="70"/>
      <c r="E575" s="70"/>
      <c r="F575" s="71"/>
      <c r="G575" s="70"/>
    </row>
    <row r="576" spans="4:7" x14ac:dyDescent="0.25">
      <c r="D576" s="70"/>
      <c r="E576" s="70"/>
      <c r="F576" s="71"/>
      <c r="G576" s="70"/>
    </row>
    <row r="577" spans="4:7" x14ac:dyDescent="0.25">
      <c r="D577" s="70"/>
      <c r="E577" s="70"/>
      <c r="F577" s="71"/>
      <c r="G577" s="70"/>
    </row>
    <row r="578" spans="4:7" x14ac:dyDescent="0.25">
      <c r="D578" s="70"/>
      <c r="E578" s="70"/>
      <c r="F578" s="71"/>
      <c r="G578" s="70"/>
    </row>
    <row r="579" spans="4:7" x14ac:dyDescent="0.25">
      <c r="D579" s="70"/>
      <c r="E579" s="70"/>
      <c r="F579" s="71"/>
      <c r="G579" s="70"/>
    </row>
    <row r="580" spans="4:7" x14ac:dyDescent="0.25">
      <c r="D580" s="70"/>
      <c r="E580" s="70"/>
      <c r="F580" s="71"/>
      <c r="G580" s="70"/>
    </row>
    <row r="581" spans="4:7" x14ac:dyDescent="0.25">
      <c r="D581" s="70"/>
      <c r="E581" s="70"/>
      <c r="F581" s="71"/>
      <c r="G581" s="70"/>
    </row>
    <row r="582" spans="4:7" x14ac:dyDescent="0.25">
      <c r="D582" s="70"/>
      <c r="E582" s="70"/>
      <c r="F582" s="71"/>
      <c r="G582" s="70"/>
    </row>
    <row r="583" spans="4:7" x14ac:dyDescent="0.25">
      <c r="D583" s="70"/>
      <c r="E583" s="70"/>
      <c r="F583" s="71"/>
      <c r="G583" s="70"/>
    </row>
    <row r="584" spans="4:7" x14ac:dyDescent="0.25">
      <c r="D584" s="70"/>
      <c r="E584" s="70"/>
      <c r="F584" s="71"/>
      <c r="G584" s="70"/>
    </row>
    <row r="585" spans="4:7" x14ac:dyDescent="0.25">
      <c r="D585" s="70"/>
      <c r="E585" s="70"/>
      <c r="F585" s="71"/>
      <c r="G585" s="70"/>
    </row>
    <row r="586" spans="4:7" x14ac:dyDescent="0.25">
      <c r="D586" s="70"/>
      <c r="E586" s="70"/>
      <c r="F586" s="71"/>
      <c r="G586" s="70"/>
    </row>
    <row r="587" spans="4:7" x14ac:dyDescent="0.25">
      <c r="D587" s="70"/>
      <c r="E587" s="70"/>
      <c r="F587" s="71"/>
      <c r="G587" s="70"/>
    </row>
    <row r="588" spans="4:7" x14ac:dyDescent="0.25">
      <c r="D588" s="70"/>
      <c r="E588" s="70"/>
      <c r="F588" s="71"/>
      <c r="G588" s="70"/>
    </row>
    <row r="589" spans="4:7" x14ac:dyDescent="0.25">
      <c r="D589" s="70"/>
      <c r="E589" s="70"/>
      <c r="F589" s="71"/>
      <c r="G589" s="70"/>
    </row>
    <row r="590" spans="4:7" x14ac:dyDescent="0.25">
      <c r="D590" s="70"/>
      <c r="E590" s="70"/>
      <c r="F590" s="71"/>
      <c r="G590" s="70"/>
    </row>
    <row r="591" spans="4:7" x14ac:dyDescent="0.25">
      <c r="D591" s="70"/>
      <c r="E591" s="70"/>
      <c r="F591" s="71"/>
      <c r="G591" s="70"/>
    </row>
    <row r="592" spans="4:7" x14ac:dyDescent="0.25">
      <c r="D592" s="70"/>
      <c r="E592" s="70"/>
      <c r="F592" s="71"/>
      <c r="G592" s="70"/>
    </row>
    <row r="593" spans="4:7" x14ac:dyDescent="0.25">
      <c r="D593" s="70"/>
      <c r="E593" s="70"/>
      <c r="F593" s="71"/>
      <c r="G593" s="70"/>
    </row>
    <row r="594" spans="4:7" x14ac:dyDescent="0.25">
      <c r="D594" s="70"/>
      <c r="E594" s="70"/>
      <c r="F594" s="71"/>
      <c r="G594" s="70"/>
    </row>
    <row r="595" spans="4:7" x14ac:dyDescent="0.25">
      <c r="D595" s="70"/>
      <c r="E595" s="70"/>
      <c r="F595" s="71"/>
      <c r="G595" s="70"/>
    </row>
    <row r="596" spans="4:7" x14ac:dyDescent="0.25">
      <c r="D596" s="70"/>
      <c r="E596" s="70"/>
      <c r="F596" s="71"/>
      <c r="G596" s="70"/>
    </row>
    <row r="597" spans="4:7" x14ac:dyDescent="0.25">
      <c r="D597" s="70"/>
      <c r="E597" s="70"/>
      <c r="F597" s="71"/>
      <c r="G597" s="70"/>
    </row>
    <row r="598" spans="4:7" x14ac:dyDescent="0.25">
      <c r="D598" s="70"/>
      <c r="E598" s="70"/>
      <c r="F598" s="71"/>
      <c r="G598" s="70"/>
    </row>
    <row r="599" spans="4:7" x14ac:dyDescent="0.25">
      <c r="D599" s="70"/>
      <c r="E599" s="70"/>
      <c r="F599" s="71"/>
      <c r="G599" s="70"/>
    </row>
    <row r="600" spans="4:7" x14ac:dyDescent="0.25">
      <c r="D600" s="70"/>
      <c r="E600" s="70"/>
      <c r="F600" s="71"/>
      <c r="G600" s="70"/>
    </row>
    <row r="601" spans="4:7" x14ac:dyDescent="0.25">
      <c r="D601" s="70"/>
      <c r="E601" s="70"/>
      <c r="F601" s="71"/>
      <c r="G601" s="70"/>
    </row>
    <row r="602" spans="4:7" x14ac:dyDescent="0.25">
      <c r="D602" s="70"/>
      <c r="E602" s="70"/>
      <c r="F602" s="71"/>
      <c r="G602" s="70"/>
    </row>
    <row r="603" spans="4:7" x14ac:dyDescent="0.25">
      <c r="D603" s="70"/>
      <c r="E603" s="70"/>
      <c r="F603" s="71"/>
      <c r="G603" s="70"/>
    </row>
    <row r="604" spans="4:7" x14ac:dyDescent="0.25">
      <c r="D604" s="70"/>
      <c r="E604" s="70"/>
      <c r="F604" s="71"/>
      <c r="G604" s="70"/>
    </row>
    <row r="605" spans="4:7" x14ac:dyDescent="0.25">
      <c r="D605" s="70"/>
      <c r="E605" s="70"/>
      <c r="F605" s="71"/>
      <c r="G605" s="70"/>
    </row>
    <row r="606" spans="4:7" x14ac:dyDescent="0.25">
      <c r="D606" s="70"/>
      <c r="E606" s="70"/>
      <c r="F606" s="71"/>
      <c r="G606" s="70"/>
    </row>
    <row r="607" spans="4:7" x14ac:dyDescent="0.25">
      <c r="D607" s="70"/>
      <c r="E607" s="70"/>
      <c r="F607" s="71"/>
      <c r="G607" s="70"/>
    </row>
    <row r="608" spans="4:7" x14ac:dyDescent="0.25">
      <c r="D608" s="70"/>
      <c r="E608" s="70"/>
      <c r="F608" s="71"/>
      <c r="G608" s="70"/>
    </row>
    <row r="609" spans="4:7" x14ac:dyDescent="0.25">
      <c r="D609" s="70"/>
      <c r="E609" s="70"/>
      <c r="F609" s="71"/>
      <c r="G609" s="70"/>
    </row>
    <row r="610" spans="4:7" x14ac:dyDescent="0.25">
      <c r="D610" s="70"/>
      <c r="E610" s="70"/>
      <c r="F610" s="71"/>
      <c r="G610" s="70"/>
    </row>
    <row r="611" spans="4:7" x14ac:dyDescent="0.25">
      <c r="D611" s="70"/>
      <c r="E611" s="70"/>
      <c r="F611" s="71"/>
      <c r="G611" s="70"/>
    </row>
    <row r="612" spans="4:7" x14ac:dyDescent="0.25">
      <c r="D612" s="70"/>
      <c r="E612" s="70"/>
      <c r="F612" s="71"/>
      <c r="G612" s="70"/>
    </row>
    <row r="613" spans="4:7" x14ac:dyDescent="0.25">
      <c r="D613" s="70"/>
      <c r="E613" s="70"/>
      <c r="F613" s="71"/>
      <c r="G613" s="70"/>
    </row>
    <row r="614" spans="4:7" x14ac:dyDescent="0.25">
      <c r="D614" s="70"/>
      <c r="E614" s="70"/>
      <c r="F614" s="71"/>
      <c r="G614" s="70"/>
    </row>
    <row r="615" spans="4:7" x14ac:dyDescent="0.25">
      <c r="D615" s="70"/>
      <c r="E615" s="70"/>
      <c r="F615" s="71"/>
      <c r="G615" s="70"/>
    </row>
    <row r="616" spans="4:7" x14ac:dyDescent="0.25">
      <c r="D616" s="70"/>
      <c r="E616" s="70"/>
      <c r="F616" s="71"/>
      <c r="G616" s="70"/>
    </row>
    <row r="617" spans="4:7" x14ac:dyDescent="0.25">
      <c r="D617" s="70"/>
      <c r="E617" s="70"/>
      <c r="F617" s="71"/>
      <c r="G617" s="70"/>
    </row>
    <row r="618" spans="4:7" x14ac:dyDescent="0.25">
      <c r="D618" s="70"/>
      <c r="E618" s="70"/>
      <c r="F618" s="71"/>
      <c r="G618" s="70"/>
    </row>
    <row r="619" spans="4:7" x14ac:dyDescent="0.25">
      <c r="D619" s="70"/>
      <c r="E619" s="70"/>
      <c r="F619" s="71"/>
      <c r="G619" s="70"/>
    </row>
    <row r="620" spans="4:7" x14ac:dyDescent="0.25">
      <c r="D620" s="70"/>
      <c r="E620" s="70"/>
      <c r="F620" s="71"/>
      <c r="G620" s="70"/>
    </row>
    <row r="621" spans="4:7" x14ac:dyDescent="0.25">
      <c r="D621" s="70"/>
      <c r="E621" s="70"/>
      <c r="F621" s="71"/>
      <c r="G621" s="70"/>
    </row>
    <row r="622" spans="4:7" x14ac:dyDescent="0.25">
      <c r="D622" s="70"/>
      <c r="E622" s="70"/>
      <c r="F622" s="71"/>
      <c r="G622" s="70"/>
    </row>
    <row r="623" spans="4:7" x14ac:dyDescent="0.25">
      <c r="D623" s="70"/>
      <c r="E623" s="70"/>
      <c r="F623" s="71"/>
      <c r="G623" s="70"/>
    </row>
    <row r="624" spans="4:7" x14ac:dyDescent="0.25">
      <c r="D624" s="70"/>
      <c r="E624" s="70"/>
      <c r="F624" s="71"/>
      <c r="G624" s="70"/>
    </row>
    <row r="625" spans="4:7" x14ac:dyDescent="0.25">
      <c r="D625" s="70"/>
      <c r="E625" s="70"/>
      <c r="F625" s="71"/>
      <c r="G625" s="70"/>
    </row>
    <row r="626" spans="4:7" x14ac:dyDescent="0.25">
      <c r="D626" s="70"/>
      <c r="E626" s="70"/>
      <c r="F626" s="71"/>
      <c r="G626" s="70"/>
    </row>
    <row r="627" spans="4:7" x14ac:dyDescent="0.25">
      <c r="D627" s="70"/>
      <c r="E627" s="70"/>
      <c r="F627" s="71"/>
      <c r="G627" s="70"/>
    </row>
    <row r="628" spans="4:7" x14ac:dyDescent="0.25">
      <c r="D628" s="70"/>
      <c r="E628" s="70"/>
      <c r="F628" s="71"/>
      <c r="G628" s="70"/>
    </row>
    <row r="629" spans="4:7" x14ac:dyDescent="0.25">
      <c r="D629" s="70"/>
      <c r="E629" s="70"/>
      <c r="F629" s="71"/>
      <c r="G629" s="70"/>
    </row>
    <row r="630" spans="4:7" x14ac:dyDescent="0.25">
      <c r="D630" s="70"/>
      <c r="E630" s="70"/>
      <c r="F630" s="71"/>
      <c r="G630" s="70"/>
    </row>
    <row r="631" spans="4:7" x14ac:dyDescent="0.25">
      <c r="D631" s="70"/>
      <c r="E631" s="70"/>
      <c r="F631" s="71"/>
      <c r="G631" s="70"/>
    </row>
    <row r="632" spans="4:7" x14ac:dyDescent="0.25">
      <c r="D632" s="70"/>
      <c r="E632" s="70"/>
      <c r="F632" s="71"/>
      <c r="G632" s="70"/>
    </row>
    <row r="633" spans="4:7" x14ac:dyDescent="0.25">
      <c r="D633" s="70"/>
      <c r="E633" s="70"/>
      <c r="F633" s="71"/>
      <c r="G633" s="70"/>
    </row>
    <row r="634" spans="4:7" x14ac:dyDescent="0.25">
      <c r="D634" s="70"/>
      <c r="E634" s="70"/>
      <c r="F634" s="71"/>
      <c r="G634" s="70"/>
    </row>
    <row r="635" spans="4:7" x14ac:dyDescent="0.25">
      <c r="D635" s="70"/>
      <c r="E635" s="70"/>
      <c r="F635" s="71"/>
      <c r="G635" s="70"/>
    </row>
    <row r="636" spans="4:7" x14ac:dyDescent="0.25">
      <c r="D636" s="70"/>
      <c r="E636" s="70"/>
      <c r="F636" s="71"/>
      <c r="G636" s="70"/>
    </row>
    <row r="637" spans="4:7" x14ac:dyDescent="0.25">
      <c r="D637" s="70"/>
      <c r="E637" s="70"/>
      <c r="F637" s="71"/>
      <c r="G637" s="70"/>
    </row>
    <row r="638" spans="4:7" x14ac:dyDescent="0.25">
      <c r="D638" s="70"/>
      <c r="E638" s="70"/>
      <c r="F638" s="71"/>
      <c r="G638" s="70"/>
    </row>
    <row r="639" spans="4:7" x14ac:dyDescent="0.25">
      <c r="D639" s="70"/>
      <c r="E639" s="70"/>
      <c r="F639" s="71"/>
      <c r="G639" s="70"/>
    </row>
    <row r="640" spans="4:7" x14ac:dyDescent="0.25">
      <c r="D640" s="70"/>
      <c r="E640" s="70"/>
      <c r="F640" s="71"/>
      <c r="G640" s="70"/>
    </row>
    <row r="641" spans="4:7" x14ac:dyDescent="0.25">
      <c r="D641" s="70"/>
      <c r="E641" s="70"/>
      <c r="F641" s="71"/>
      <c r="G641" s="70"/>
    </row>
    <row r="642" spans="4:7" x14ac:dyDescent="0.25">
      <c r="D642" s="70"/>
      <c r="E642" s="70"/>
      <c r="F642" s="71"/>
      <c r="G642" s="70"/>
    </row>
    <row r="643" spans="4:7" x14ac:dyDescent="0.25">
      <c r="D643" s="70"/>
      <c r="E643" s="70"/>
      <c r="F643" s="71"/>
      <c r="G643" s="70"/>
    </row>
    <row r="644" spans="4:7" x14ac:dyDescent="0.25">
      <c r="D644" s="70"/>
      <c r="E644" s="70"/>
      <c r="F644" s="71"/>
      <c r="G644" s="70"/>
    </row>
    <row r="645" spans="4:7" x14ac:dyDescent="0.25">
      <c r="D645" s="70"/>
      <c r="E645" s="70"/>
      <c r="F645" s="71"/>
      <c r="G645" s="70"/>
    </row>
    <row r="646" spans="4:7" x14ac:dyDescent="0.25">
      <c r="D646" s="70"/>
      <c r="E646" s="70"/>
      <c r="F646" s="71"/>
      <c r="G646" s="70"/>
    </row>
    <row r="647" spans="4:7" x14ac:dyDescent="0.25">
      <c r="D647" s="70"/>
      <c r="E647" s="70"/>
      <c r="F647" s="71"/>
      <c r="G647" s="70"/>
    </row>
    <row r="648" spans="4:7" x14ac:dyDescent="0.25">
      <c r="D648" s="70"/>
      <c r="E648" s="70"/>
      <c r="F648" s="71"/>
      <c r="G648" s="70"/>
    </row>
    <row r="649" spans="4:7" x14ac:dyDescent="0.25">
      <c r="D649" s="70"/>
      <c r="E649" s="70"/>
      <c r="F649" s="71"/>
      <c r="G649" s="70"/>
    </row>
    <row r="650" spans="4:7" x14ac:dyDescent="0.25">
      <c r="D650" s="70"/>
      <c r="E650" s="70"/>
      <c r="F650" s="71"/>
      <c r="G650" s="70"/>
    </row>
    <row r="651" spans="4:7" x14ac:dyDescent="0.25">
      <c r="D651" s="70"/>
      <c r="E651" s="70"/>
      <c r="F651" s="71"/>
      <c r="G651" s="70"/>
    </row>
    <row r="652" spans="4:7" x14ac:dyDescent="0.25">
      <c r="D652" s="70"/>
      <c r="E652" s="70"/>
      <c r="F652" s="71"/>
      <c r="G652" s="70"/>
    </row>
    <row r="653" spans="4:7" x14ac:dyDescent="0.25">
      <c r="D653" s="70"/>
      <c r="E653" s="70"/>
      <c r="F653" s="71"/>
      <c r="G653" s="70"/>
    </row>
    <row r="654" spans="4:7" x14ac:dyDescent="0.25">
      <c r="D654" s="70"/>
      <c r="E654" s="70"/>
      <c r="F654" s="71"/>
      <c r="G654" s="70"/>
    </row>
    <row r="655" spans="4:7" x14ac:dyDescent="0.25">
      <c r="D655" s="70"/>
      <c r="E655" s="70"/>
      <c r="F655" s="71"/>
      <c r="G655" s="70"/>
    </row>
    <row r="656" spans="4:7" x14ac:dyDescent="0.25">
      <c r="D656" s="70"/>
      <c r="E656" s="70"/>
      <c r="F656" s="71"/>
      <c r="G656" s="70"/>
    </row>
    <row r="657" spans="4:7" x14ac:dyDescent="0.25">
      <c r="D657" s="70"/>
      <c r="E657" s="70"/>
      <c r="F657" s="71"/>
      <c r="G657" s="70"/>
    </row>
    <row r="658" spans="4:7" x14ac:dyDescent="0.25">
      <c r="D658" s="70"/>
      <c r="E658" s="70"/>
      <c r="F658" s="71"/>
      <c r="G658" s="70"/>
    </row>
    <row r="659" spans="4:7" x14ac:dyDescent="0.25">
      <c r="D659" s="70"/>
      <c r="E659" s="70"/>
      <c r="F659" s="71"/>
      <c r="G659" s="70"/>
    </row>
    <row r="660" spans="4:7" x14ac:dyDescent="0.25">
      <c r="D660" s="70"/>
      <c r="E660" s="70"/>
      <c r="F660" s="71"/>
      <c r="G660" s="70"/>
    </row>
    <row r="661" spans="4:7" x14ac:dyDescent="0.25">
      <c r="D661" s="70"/>
      <c r="E661" s="70"/>
      <c r="F661" s="71"/>
      <c r="G661" s="70"/>
    </row>
    <row r="662" spans="4:7" x14ac:dyDescent="0.25">
      <c r="D662" s="70"/>
      <c r="E662" s="70"/>
      <c r="F662" s="71"/>
      <c r="G662" s="70"/>
    </row>
    <row r="663" spans="4:7" x14ac:dyDescent="0.25">
      <c r="D663" s="70"/>
      <c r="E663" s="70"/>
      <c r="F663" s="71"/>
      <c r="G663" s="70"/>
    </row>
    <row r="664" spans="4:7" x14ac:dyDescent="0.25">
      <c r="D664" s="70"/>
      <c r="E664" s="70"/>
      <c r="F664" s="71"/>
      <c r="G664" s="70"/>
    </row>
    <row r="665" spans="4:7" x14ac:dyDescent="0.25">
      <c r="D665" s="70"/>
      <c r="E665" s="70"/>
      <c r="F665" s="71"/>
      <c r="G665" s="70"/>
    </row>
    <row r="666" spans="4:7" x14ac:dyDescent="0.25">
      <c r="D666" s="70"/>
      <c r="E666" s="70"/>
      <c r="F666" s="71"/>
      <c r="G666" s="70"/>
    </row>
    <row r="667" spans="4:7" x14ac:dyDescent="0.25">
      <c r="D667" s="70"/>
      <c r="E667" s="70"/>
      <c r="F667" s="71"/>
      <c r="G667" s="70"/>
    </row>
    <row r="668" spans="4:7" x14ac:dyDescent="0.25">
      <c r="D668" s="70"/>
      <c r="E668" s="70"/>
      <c r="F668" s="71"/>
      <c r="G668" s="70"/>
    </row>
    <row r="669" spans="4:7" x14ac:dyDescent="0.25">
      <c r="D669" s="70"/>
      <c r="E669" s="70"/>
      <c r="F669" s="71"/>
      <c r="G669" s="70"/>
    </row>
    <row r="670" spans="4:7" x14ac:dyDescent="0.25">
      <c r="D670" s="70"/>
      <c r="E670" s="70"/>
      <c r="F670" s="71"/>
      <c r="G670" s="70"/>
    </row>
    <row r="671" spans="4:7" x14ac:dyDescent="0.25">
      <c r="D671" s="70"/>
      <c r="E671" s="70"/>
      <c r="F671" s="71"/>
      <c r="G671" s="70"/>
    </row>
    <row r="672" spans="4:7" x14ac:dyDescent="0.25">
      <c r="D672" s="70"/>
      <c r="E672" s="70"/>
      <c r="F672" s="71"/>
      <c r="G672" s="70"/>
    </row>
    <row r="673" spans="4:7" x14ac:dyDescent="0.25">
      <c r="D673" s="70"/>
      <c r="E673" s="70"/>
      <c r="F673" s="71"/>
      <c r="G673" s="70"/>
    </row>
    <row r="674" spans="4:7" x14ac:dyDescent="0.25">
      <c r="D674" s="70"/>
      <c r="E674" s="70"/>
      <c r="F674" s="71"/>
      <c r="G674" s="70"/>
    </row>
    <row r="675" spans="4:7" x14ac:dyDescent="0.25">
      <c r="D675" s="70"/>
      <c r="E675" s="70"/>
      <c r="F675" s="71"/>
      <c r="G675" s="70"/>
    </row>
    <row r="676" spans="4:7" x14ac:dyDescent="0.25">
      <c r="D676" s="70"/>
      <c r="E676" s="70"/>
      <c r="F676" s="71"/>
      <c r="G676" s="70"/>
    </row>
    <row r="677" spans="4:7" x14ac:dyDescent="0.25">
      <c r="D677" s="70"/>
      <c r="E677" s="70"/>
      <c r="F677" s="71"/>
      <c r="G677" s="70"/>
    </row>
    <row r="678" spans="4:7" x14ac:dyDescent="0.25">
      <c r="D678" s="70"/>
      <c r="E678" s="70"/>
      <c r="F678" s="71"/>
      <c r="G678" s="70"/>
    </row>
    <row r="679" spans="4:7" x14ac:dyDescent="0.25">
      <c r="D679" s="70"/>
      <c r="E679" s="70"/>
      <c r="F679" s="71"/>
      <c r="G679" s="70"/>
    </row>
    <row r="680" spans="4:7" x14ac:dyDescent="0.25">
      <c r="D680" s="70"/>
      <c r="E680" s="70"/>
      <c r="F680" s="71"/>
      <c r="G680" s="70"/>
    </row>
    <row r="681" spans="4:7" x14ac:dyDescent="0.25">
      <c r="D681" s="70"/>
      <c r="E681" s="70"/>
      <c r="F681" s="71"/>
      <c r="G681" s="70"/>
    </row>
    <row r="682" spans="4:7" x14ac:dyDescent="0.25">
      <c r="D682" s="70"/>
      <c r="E682" s="70"/>
      <c r="F682" s="71"/>
      <c r="G682" s="70"/>
    </row>
    <row r="683" spans="4:7" x14ac:dyDescent="0.25">
      <c r="D683" s="70"/>
      <c r="E683" s="70"/>
      <c r="F683" s="71"/>
      <c r="G683" s="70"/>
    </row>
    <row r="684" spans="4:7" x14ac:dyDescent="0.25">
      <c r="D684" s="70"/>
      <c r="E684" s="70"/>
      <c r="F684" s="71"/>
      <c r="G684" s="70"/>
    </row>
    <row r="685" spans="4:7" x14ac:dyDescent="0.25">
      <c r="D685" s="70"/>
      <c r="E685" s="70"/>
      <c r="F685" s="71"/>
      <c r="G685" s="70"/>
    </row>
    <row r="686" spans="4:7" x14ac:dyDescent="0.25">
      <c r="D686" s="70"/>
      <c r="E686" s="70"/>
      <c r="F686" s="71"/>
      <c r="G686" s="70"/>
    </row>
    <row r="687" spans="4:7" x14ac:dyDescent="0.25">
      <c r="D687" s="70"/>
      <c r="E687" s="70"/>
      <c r="F687" s="71"/>
      <c r="G687" s="70"/>
    </row>
    <row r="688" spans="4:7" x14ac:dyDescent="0.25">
      <c r="D688" s="70"/>
      <c r="E688" s="70"/>
      <c r="F688" s="71"/>
      <c r="G688" s="70"/>
    </row>
    <row r="689" spans="4:7" x14ac:dyDescent="0.25">
      <c r="D689" s="70"/>
      <c r="E689" s="70"/>
      <c r="F689" s="71"/>
      <c r="G689" s="70"/>
    </row>
    <row r="690" spans="4:7" x14ac:dyDescent="0.25">
      <c r="D690" s="70"/>
      <c r="E690" s="70"/>
      <c r="F690" s="71"/>
      <c r="G690" s="70"/>
    </row>
    <row r="691" spans="4:7" x14ac:dyDescent="0.25">
      <c r="D691" s="70"/>
      <c r="E691" s="70"/>
      <c r="F691" s="71"/>
      <c r="G691" s="70"/>
    </row>
    <row r="692" spans="4:7" x14ac:dyDescent="0.25">
      <c r="D692" s="70"/>
      <c r="E692" s="70"/>
      <c r="F692" s="71"/>
      <c r="G692" s="70"/>
    </row>
    <row r="693" spans="4:7" x14ac:dyDescent="0.25">
      <c r="D693" s="70"/>
      <c r="E693" s="70"/>
      <c r="F693" s="71"/>
      <c r="G693" s="70"/>
    </row>
    <row r="694" spans="4:7" x14ac:dyDescent="0.25">
      <c r="D694" s="70"/>
      <c r="E694" s="70"/>
      <c r="F694" s="71"/>
      <c r="G694" s="70"/>
    </row>
    <row r="695" spans="4:7" x14ac:dyDescent="0.25">
      <c r="D695" s="70"/>
      <c r="E695" s="70"/>
      <c r="F695" s="71"/>
      <c r="G695" s="70"/>
    </row>
    <row r="696" spans="4:7" x14ac:dyDescent="0.25">
      <c r="D696" s="70"/>
      <c r="E696" s="70"/>
      <c r="F696" s="71"/>
      <c r="G696" s="70"/>
    </row>
    <row r="697" spans="4:7" x14ac:dyDescent="0.25">
      <c r="D697" s="70"/>
      <c r="E697" s="70"/>
      <c r="F697" s="71"/>
      <c r="G697" s="70"/>
    </row>
    <row r="698" spans="4:7" x14ac:dyDescent="0.25">
      <c r="D698" s="70"/>
      <c r="E698" s="70"/>
      <c r="F698" s="71"/>
      <c r="G698" s="70"/>
    </row>
    <row r="699" spans="4:7" x14ac:dyDescent="0.25">
      <c r="D699" s="70"/>
      <c r="E699" s="70"/>
      <c r="F699" s="71"/>
      <c r="G699" s="70"/>
    </row>
    <row r="700" spans="4:7" x14ac:dyDescent="0.25">
      <c r="D700" s="70"/>
      <c r="E700" s="70"/>
      <c r="F700" s="71"/>
      <c r="G700" s="70"/>
    </row>
    <row r="701" spans="4:7" x14ac:dyDescent="0.25">
      <c r="D701" s="70"/>
      <c r="E701" s="70"/>
      <c r="F701" s="71"/>
      <c r="G701" s="70"/>
    </row>
    <row r="702" spans="4:7" x14ac:dyDescent="0.25">
      <c r="D702" s="70"/>
      <c r="E702" s="70"/>
      <c r="F702" s="71"/>
      <c r="G702" s="70"/>
    </row>
    <row r="703" spans="4:7" x14ac:dyDescent="0.25">
      <c r="D703" s="70"/>
      <c r="E703" s="70"/>
      <c r="F703" s="71"/>
      <c r="G703" s="70"/>
    </row>
    <row r="704" spans="4:7" x14ac:dyDescent="0.25">
      <c r="D704" s="70"/>
      <c r="E704" s="70"/>
      <c r="F704" s="71"/>
      <c r="G704" s="70"/>
    </row>
    <row r="705" spans="4:7" x14ac:dyDescent="0.25">
      <c r="D705" s="70"/>
      <c r="E705" s="70"/>
      <c r="F705" s="71"/>
      <c r="G705" s="70"/>
    </row>
    <row r="706" spans="4:7" x14ac:dyDescent="0.25">
      <c r="D706" s="70"/>
      <c r="E706" s="70"/>
      <c r="F706" s="71"/>
      <c r="G706" s="70"/>
    </row>
    <row r="707" spans="4:7" x14ac:dyDescent="0.25">
      <c r="D707" s="70"/>
      <c r="E707" s="70"/>
      <c r="F707" s="71"/>
      <c r="G707" s="70"/>
    </row>
    <row r="708" spans="4:7" x14ac:dyDescent="0.25">
      <c r="D708" s="70"/>
      <c r="E708" s="70"/>
      <c r="F708" s="71"/>
      <c r="G708" s="70"/>
    </row>
    <row r="709" spans="4:7" x14ac:dyDescent="0.25">
      <c r="D709" s="70"/>
      <c r="E709" s="70"/>
      <c r="F709" s="71"/>
      <c r="G709" s="70"/>
    </row>
    <row r="710" spans="4:7" x14ac:dyDescent="0.25">
      <c r="D710" s="70"/>
      <c r="E710" s="70"/>
      <c r="F710" s="71"/>
      <c r="G710" s="70"/>
    </row>
    <row r="711" spans="4:7" x14ac:dyDescent="0.25">
      <c r="D711" s="70"/>
      <c r="E711" s="70"/>
      <c r="F711" s="71"/>
      <c r="G711" s="70"/>
    </row>
    <row r="712" spans="4:7" x14ac:dyDescent="0.25">
      <c r="D712" s="70"/>
      <c r="E712" s="70"/>
      <c r="F712" s="71"/>
      <c r="G712" s="70"/>
    </row>
    <row r="713" spans="4:7" x14ac:dyDescent="0.25">
      <c r="D713" s="70"/>
      <c r="E713" s="70"/>
      <c r="F713" s="71"/>
      <c r="G713" s="70"/>
    </row>
    <row r="714" spans="4:7" x14ac:dyDescent="0.25">
      <c r="D714" s="70"/>
      <c r="E714" s="70"/>
      <c r="F714" s="71"/>
      <c r="G714" s="70"/>
    </row>
    <row r="715" spans="4:7" x14ac:dyDescent="0.25">
      <c r="D715" s="70"/>
      <c r="E715" s="70"/>
      <c r="F715" s="71"/>
      <c r="G715" s="70"/>
    </row>
    <row r="716" spans="4:7" x14ac:dyDescent="0.25">
      <c r="D716" s="70"/>
      <c r="E716" s="70"/>
      <c r="F716" s="71"/>
      <c r="G716" s="70"/>
    </row>
    <row r="717" spans="4:7" x14ac:dyDescent="0.25">
      <c r="D717" s="70"/>
      <c r="E717" s="70"/>
      <c r="F717" s="71"/>
      <c r="G717" s="70"/>
    </row>
    <row r="718" spans="4:7" x14ac:dyDescent="0.25">
      <c r="D718" s="70"/>
      <c r="E718" s="70"/>
      <c r="F718" s="71"/>
      <c r="G718" s="70"/>
    </row>
    <row r="719" spans="4:7" x14ac:dyDescent="0.25">
      <c r="D719" s="70"/>
      <c r="E719" s="70"/>
      <c r="F719" s="71"/>
      <c r="G719" s="70"/>
    </row>
    <row r="720" spans="4:7" x14ac:dyDescent="0.25">
      <c r="D720" s="70"/>
      <c r="E720" s="70"/>
      <c r="F720" s="71"/>
      <c r="G720" s="70"/>
    </row>
    <row r="721" spans="4:7" x14ac:dyDescent="0.25">
      <c r="D721" s="70"/>
      <c r="E721" s="70"/>
      <c r="F721" s="71"/>
      <c r="G721" s="70"/>
    </row>
    <row r="722" spans="4:7" x14ac:dyDescent="0.25">
      <c r="D722" s="70"/>
      <c r="E722" s="70"/>
      <c r="F722" s="71"/>
      <c r="G722" s="70"/>
    </row>
    <row r="723" spans="4:7" x14ac:dyDescent="0.25">
      <c r="D723" s="70"/>
      <c r="E723" s="70"/>
      <c r="F723" s="71"/>
      <c r="G723" s="70"/>
    </row>
    <row r="724" spans="4:7" x14ac:dyDescent="0.25">
      <c r="D724" s="70"/>
      <c r="E724" s="70"/>
      <c r="F724" s="71"/>
      <c r="G724" s="70"/>
    </row>
    <row r="725" spans="4:7" x14ac:dyDescent="0.25">
      <c r="D725" s="70"/>
      <c r="E725" s="70"/>
      <c r="F725" s="71"/>
      <c r="G725" s="70"/>
    </row>
    <row r="726" spans="4:7" x14ac:dyDescent="0.25">
      <c r="D726" s="70"/>
      <c r="E726" s="70"/>
      <c r="F726" s="71"/>
      <c r="G726" s="70"/>
    </row>
    <row r="727" spans="4:7" x14ac:dyDescent="0.25">
      <c r="D727" s="70"/>
      <c r="E727" s="70"/>
      <c r="F727" s="71"/>
      <c r="G727" s="70"/>
    </row>
    <row r="728" spans="4:7" x14ac:dyDescent="0.25">
      <c r="D728" s="70"/>
      <c r="E728" s="70"/>
      <c r="F728" s="71"/>
      <c r="G728" s="70"/>
    </row>
    <row r="729" spans="4:7" x14ac:dyDescent="0.25">
      <c r="D729" s="70"/>
      <c r="E729" s="70"/>
      <c r="F729" s="71"/>
      <c r="G729" s="70"/>
    </row>
    <row r="730" spans="4:7" x14ac:dyDescent="0.25">
      <c r="D730" s="70"/>
      <c r="E730" s="70"/>
      <c r="F730" s="71"/>
      <c r="G730" s="70"/>
    </row>
    <row r="731" spans="4:7" x14ac:dyDescent="0.25">
      <c r="D731" s="70"/>
      <c r="E731" s="70"/>
      <c r="F731" s="71"/>
      <c r="G731" s="70"/>
    </row>
    <row r="732" spans="4:7" x14ac:dyDescent="0.25">
      <c r="D732" s="70"/>
      <c r="E732" s="70"/>
      <c r="F732" s="71"/>
      <c r="G732" s="70"/>
    </row>
    <row r="733" spans="4:7" x14ac:dyDescent="0.25">
      <c r="D733" s="70"/>
      <c r="E733" s="70"/>
      <c r="F733" s="71"/>
      <c r="G733" s="70"/>
    </row>
    <row r="734" spans="4:7" x14ac:dyDescent="0.25">
      <c r="D734" s="70"/>
      <c r="E734" s="70"/>
      <c r="F734" s="71"/>
      <c r="G734" s="70"/>
    </row>
    <row r="735" spans="4:7" x14ac:dyDescent="0.25">
      <c r="D735" s="70"/>
      <c r="E735" s="70"/>
      <c r="F735" s="71"/>
      <c r="G735" s="70"/>
    </row>
    <row r="736" spans="4:7" x14ac:dyDescent="0.25">
      <c r="D736" s="70"/>
      <c r="E736" s="70"/>
      <c r="F736" s="71"/>
      <c r="G736" s="70"/>
    </row>
    <row r="737" spans="4:7" x14ac:dyDescent="0.25">
      <c r="D737" s="70"/>
      <c r="E737" s="70"/>
      <c r="F737" s="71"/>
      <c r="G737" s="70"/>
    </row>
    <row r="738" spans="4:7" x14ac:dyDescent="0.25">
      <c r="D738" s="70"/>
      <c r="E738" s="70"/>
      <c r="F738" s="71"/>
      <c r="G738" s="70"/>
    </row>
    <row r="739" spans="4:7" x14ac:dyDescent="0.25">
      <c r="D739" s="70"/>
      <c r="E739" s="70"/>
      <c r="F739" s="71"/>
      <c r="G739" s="70"/>
    </row>
    <row r="740" spans="4:7" x14ac:dyDescent="0.25">
      <c r="D740" s="70"/>
      <c r="E740" s="70"/>
      <c r="F740" s="71"/>
      <c r="G740" s="70"/>
    </row>
    <row r="741" spans="4:7" x14ac:dyDescent="0.25">
      <c r="D741" s="70"/>
      <c r="E741" s="70"/>
      <c r="F741" s="71"/>
      <c r="G741" s="70"/>
    </row>
    <row r="742" spans="4:7" x14ac:dyDescent="0.25">
      <c r="D742" s="70"/>
      <c r="E742" s="70"/>
      <c r="F742" s="71"/>
      <c r="G742" s="70"/>
    </row>
    <row r="743" spans="4:7" x14ac:dyDescent="0.25">
      <c r="D743" s="70"/>
      <c r="E743" s="70"/>
      <c r="F743" s="71"/>
      <c r="G743" s="70"/>
    </row>
    <row r="744" spans="4:7" x14ac:dyDescent="0.25">
      <c r="D744" s="70"/>
      <c r="E744" s="70"/>
      <c r="F744" s="71"/>
      <c r="G744" s="70"/>
    </row>
    <row r="745" spans="4:7" x14ac:dyDescent="0.25">
      <c r="D745" s="70"/>
      <c r="E745" s="70"/>
      <c r="F745" s="71"/>
      <c r="G745" s="70"/>
    </row>
    <row r="746" spans="4:7" x14ac:dyDescent="0.25">
      <c r="D746" s="70"/>
      <c r="E746" s="70"/>
      <c r="F746" s="71"/>
      <c r="G746" s="70"/>
    </row>
    <row r="747" spans="4:7" x14ac:dyDescent="0.25">
      <c r="D747" s="70"/>
      <c r="E747" s="70"/>
      <c r="F747" s="71"/>
      <c r="G747" s="70"/>
    </row>
    <row r="748" spans="4:7" x14ac:dyDescent="0.25">
      <c r="D748" s="70"/>
      <c r="E748" s="70"/>
      <c r="F748" s="71"/>
      <c r="G748" s="70"/>
    </row>
    <row r="749" spans="4:7" x14ac:dyDescent="0.25">
      <c r="D749" s="70"/>
      <c r="E749" s="70"/>
      <c r="F749" s="71"/>
      <c r="G749" s="70"/>
    </row>
    <row r="750" spans="4:7" x14ac:dyDescent="0.25">
      <c r="D750" s="70"/>
      <c r="E750" s="70"/>
      <c r="F750" s="71"/>
      <c r="G750" s="70"/>
    </row>
    <row r="751" spans="4:7" x14ac:dyDescent="0.25">
      <c r="D751" s="70"/>
      <c r="E751" s="70"/>
      <c r="F751" s="71"/>
      <c r="G751" s="70"/>
    </row>
    <row r="752" spans="4:7" x14ac:dyDescent="0.25">
      <c r="D752" s="70"/>
      <c r="E752" s="70"/>
      <c r="F752" s="71"/>
      <c r="G752" s="70"/>
    </row>
    <row r="753" spans="4:7" x14ac:dyDescent="0.25">
      <c r="D753" s="70"/>
      <c r="E753" s="70"/>
      <c r="F753" s="71"/>
      <c r="G753" s="70"/>
    </row>
    <row r="754" spans="4:7" x14ac:dyDescent="0.25">
      <c r="D754" s="70"/>
      <c r="E754" s="70"/>
      <c r="F754" s="71"/>
      <c r="G754" s="70"/>
    </row>
    <row r="755" spans="4:7" x14ac:dyDescent="0.25">
      <c r="D755" s="70"/>
      <c r="E755" s="70"/>
      <c r="F755" s="71"/>
      <c r="G755" s="70"/>
    </row>
    <row r="756" spans="4:7" x14ac:dyDescent="0.25">
      <c r="D756" s="70"/>
      <c r="E756" s="70"/>
      <c r="F756" s="71"/>
      <c r="G756" s="70"/>
    </row>
    <row r="757" spans="4:7" x14ac:dyDescent="0.25">
      <c r="D757" s="70"/>
      <c r="E757" s="70"/>
      <c r="F757" s="71"/>
      <c r="G757" s="70"/>
    </row>
    <row r="758" spans="4:7" x14ac:dyDescent="0.25">
      <c r="D758" s="70"/>
      <c r="E758" s="70"/>
      <c r="F758" s="71"/>
      <c r="G758" s="70"/>
    </row>
    <row r="759" spans="4:7" x14ac:dyDescent="0.25">
      <c r="D759" s="70"/>
      <c r="E759" s="70"/>
      <c r="F759" s="71"/>
      <c r="G759" s="70"/>
    </row>
    <row r="760" spans="4:7" x14ac:dyDescent="0.25">
      <c r="D760" s="70"/>
      <c r="E760" s="70"/>
      <c r="F760" s="71"/>
      <c r="G760" s="70"/>
    </row>
    <row r="761" spans="4:7" x14ac:dyDescent="0.25">
      <c r="D761" s="70"/>
      <c r="E761" s="70"/>
      <c r="F761" s="71"/>
      <c r="G761" s="70"/>
    </row>
    <row r="762" spans="4:7" x14ac:dyDescent="0.25">
      <c r="D762" s="70"/>
      <c r="E762" s="70"/>
      <c r="F762" s="71"/>
      <c r="G762" s="70"/>
    </row>
    <row r="763" spans="4:7" x14ac:dyDescent="0.25">
      <c r="D763" s="70"/>
      <c r="E763" s="70"/>
      <c r="F763" s="71"/>
      <c r="G763" s="70"/>
    </row>
    <row r="764" spans="4:7" x14ac:dyDescent="0.25">
      <c r="D764" s="70"/>
      <c r="E764" s="70"/>
      <c r="F764" s="71"/>
      <c r="G764" s="70"/>
    </row>
    <row r="765" spans="4:7" x14ac:dyDescent="0.25">
      <c r="D765" s="70"/>
      <c r="E765" s="70"/>
      <c r="F765" s="71"/>
      <c r="G765" s="70"/>
    </row>
    <row r="766" spans="4:7" x14ac:dyDescent="0.25">
      <c r="D766" s="70"/>
      <c r="E766" s="70"/>
      <c r="F766" s="71"/>
      <c r="G766" s="70"/>
    </row>
    <row r="767" spans="4:7" x14ac:dyDescent="0.25">
      <c r="D767" s="70"/>
      <c r="E767" s="70"/>
      <c r="F767" s="71"/>
      <c r="G767" s="70"/>
    </row>
    <row r="768" spans="4:7" x14ac:dyDescent="0.25">
      <c r="D768" s="70"/>
      <c r="E768" s="70"/>
      <c r="F768" s="71"/>
      <c r="G768" s="70"/>
    </row>
    <row r="769" spans="4:7" x14ac:dyDescent="0.25">
      <c r="D769" s="70"/>
      <c r="E769" s="70"/>
      <c r="F769" s="71"/>
      <c r="G769" s="70"/>
    </row>
    <row r="770" spans="4:7" x14ac:dyDescent="0.25">
      <c r="D770" s="70"/>
      <c r="E770" s="70"/>
      <c r="F770" s="71"/>
      <c r="G770" s="70"/>
    </row>
    <row r="771" spans="4:7" x14ac:dyDescent="0.25">
      <c r="D771" s="70"/>
      <c r="E771" s="70"/>
      <c r="F771" s="71"/>
      <c r="G771" s="70"/>
    </row>
    <row r="772" spans="4:7" x14ac:dyDescent="0.25">
      <c r="D772" s="70"/>
      <c r="E772" s="70"/>
      <c r="F772" s="71"/>
      <c r="G772" s="70"/>
    </row>
    <row r="773" spans="4:7" x14ac:dyDescent="0.25">
      <c r="D773" s="70"/>
      <c r="E773" s="70"/>
      <c r="F773" s="71"/>
      <c r="G773" s="70"/>
    </row>
    <row r="774" spans="4:7" x14ac:dyDescent="0.25">
      <c r="D774" s="70"/>
      <c r="E774" s="70"/>
      <c r="F774" s="71"/>
      <c r="G774" s="70"/>
    </row>
    <row r="775" spans="4:7" x14ac:dyDescent="0.25">
      <c r="D775" s="70"/>
      <c r="E775" s="70"/>
      <c r="F775" s="71"/>
      <c r="G775" s="70"/>
    </row>
    <row r="776" spans="4:7" x14ac:dyDescent="0.25">
      <c r="D776" s="70"/>
      <c r="E776" s="70"/>
      <c r="F776" s="71"/>
      <c r="G776" s="70"/>
    </row>
    <row r="777" spans="4:7" x14ac:dyDescent="0.25">
      <c r="D777" s="70"/>
      <c r="E777" s="70"/>
      <c r="F777" s="71"/>
      <c r="G777" s="70"/>
    </row>
    <row r="778" spans="4:7" x14ac:dyDescent="0.25">
      <c r="D778" s="70"/>
      <c r="E778" s="70"/>
      <c r="F778" s="71"/>
      <c r="G778" s="70"/>
    </row>
    <row r="779" spans="4:7" x14ac:dyDescent="0.25">
      <c r="D779" s="70"/>
      <c r="E779" s="70"/>
      <c r="F779" s="71"/>
      <c r="G779" s="70"/>
    </row>
    <row r="780" spans="4:7" x14ac:dyDescent="0.25">
      <c r="D780" s="70"/>
      <c r="E780" s="70"/>
      <c r="F780" s="71"/>
      <c r="G780" s="70"/>
    </row>
    <row r="781" spans="4:7" x14ac:dyDescent="0.25">
      <c r="D781" s="70"/>
      <c r="E781" s="70"/>
      <c r="F781" s="71"/>
      <c r="G781" s="70"/>
    </row>
    <row r="782" spans="4:7" x14ac:dyDescent="0.25">
      <c r="D782" s="70"/>
      <c r="E782" s="70"/>
      <c r="F782" s="71"/>
      <c r="G782" s="70"/>
    </row>
    <row r="783" spans="4:7" x14ac:dyDescent="0.25">
      <c r="D783" s="70"/>
      <c r="E783" s="70"/>
      <c r="F783" s="71"/>
      <c r="G783" s="70"/>
    </row>
    <row r="784" spans="4:7" x14ac:dyDescent="0.25">
      <c r="D784" s="70"/>
      <c r="E784" s="70"/>
      <c r="F784" s="71"/>
      <c r="G784" s="70"/>
    </row>
    <row r="785" spans="4:7" x14ac:dyDescent="0.25">
      <c r="D785" s="70"/>
      <c r="E785" s="70"/>
      <c r="F785" s="71"/>
      <c r="G785" s="70"/>
    </row>
    <row r="786" spans="4:7" x14ac:dyDescent="0.25">
      <c r="D786" s="70"/>
      <c r="E786" s="70"/>
      <c r="F786" s="71"/>
      <c r="G786" s="70"/>
    </row>
    <row r="787" spans="4:7" x14ac:dyDescent="0.25">
      <c r="D787" s="70"/>
      <c r="E787" s="70"/>
      <c r="F787" s="71"/>
      <c r="G787" s="70"/>
    </row>
    <row r="788" spans="4:7" x14ac:dyDescent="0.25">
      <c r="D788" s="70"/>
      <c r="E788" s="70"/>
      <c r="F788" s="71"/>
      <c r="G788" s="70"/>
    </row>
    <row r="789" spans="4:7" x14ac:dyDescent="0.25">
      <c r="D789" s="70"/>
      <c r="E789" s="70"/>
      <c r="F789" s="71"/>
      <c r="G789" s="70"/>
    </row>
    <row r="790" spans="4:7" x14ac:dyDescent="0.25">
      <c r="D790" s="70"/>
      <c r="E790" s="70"/>
      <c r="F790" s="71"/>
      <c r="G790" s="70"/>
    </row>
    <row r="791" spans="4:7" x14ac:dyDescent="0.25">
      <c r="D791" s="70"/>
      <c r="E791" s="70"/>
      <c r="F791" s="71"/>
      <c r="G791" s="70"/>
    </row>
    <row r="792" spans="4:7" x14ac:dyDescent="0.25">
      <c r="D792" s="70"/>
      <c r="E792" s="70"/>
      <c r="F792" s="71"/>
      <c r="G792" s="70"/>
    </row>
    <row r="793" spans="4:7" x14ac:dyDescent="0.25">
      <c r="D793" s="70"/>
      <c r="E793" s="70"/>
      <c r="F793" s="71"/>
      <c r="G793" s="70"/>
    </row>
    <row r="794" spans="4:7" x14ac:dyDescent="0.25">
      <c r="D794" s="70"/>
      <c r="E794" s="70"/>
      <c r="F794" s="71"/>
      <c r="G794" s="70"/>
    </row>
    <row r="795" spans="4:7" x14ac:dyDescent="0.25">
      <c r="D795" s="70"/>
      <c r="E795" s="70"/>
      <c r="F795" s="71"/>
      <c r="G795" s="70"/>
    </row>
    <row r="796" spans="4:7" x14ac:dyDescent="0.25">
      <c r="D796" s="70"/>
      <c r="E796" s="70"/>
      <c r="F796" s="71"/>
      <c r="G796" s="70"/>
    </row>
    <row r="797" spans="4:7" x14ac:dyDescent="0.25">
      <c r="D797" s="70"/>
      <c r="E797" s="70"/>
      <c r="F797" s="71"/>
      <c r="G797" s="70"/>
    </row>
    <row r="798" spans="4:7" x14ac:dyDescent="0.25">
      <c r="D798" s="70"/>
      <c r="E798" s="70"/>
      <c r="F798" s="71"/>
      <c r="G798" s="70"/>
    </row>
    <row r="799" spans="4:7" x14ac:dyDescent="0.25">
      <c r="D799" s="70"/>
      <c r="E799" s="70"/>
      <c r="F799" s="71"/>
      <c r="G799" s="70"/>
    </row>
    <row r="800" spans="4:7" x14ac:dyDescent="0.25">
      <c r="D800" s="70"/>
      <c r="E800" s="70"/>
      <c r="F800" s="71"/>
      <c r="G800" s="70"/>
    </row>
    <row r="801" spans="4:7" x14ac:dyDescent="0.25">
      <c r="D801" s="70"/>
      <c r="E801" s="70"/>
      <c r="F801" s="71"/>
      <c r="G801" s="70"/>
    </row>
    <row r="802" spans="4:7" x14ac:dyDescent="0.25">
      <c r="D802" s="70"/>
      <c r="E802" s="70"/>
      <c r="F802" s="71"/>
      <c r="G802" s="70"/>
    </row>
    <row r="803" spans="4:7" x14ac:dyDescent="0.25">
      <c r="D803" s="70"/>
      <c r="E803" s="70"/>
      <c r="F803" s="71"/>
      <c r="G803" s="70"/>
    </row>
    <row r="804" spans="4:7" x14ac:dyDescent="0.25">
      <c r="D804" s="70"/>
      <c r="E804" s="70"/>
      <c r="F804" s="71"/>
      <c r="G804" s="70"/>
    </row>
    <row r="805" spans="4:7" x14ac:dyDescent="0.25">
      <c r="D805" s="70"/>
      <c r="E805" s="70"/>
      <c r="F805" s="71"/>
      <c r="G805" s="70"/>
    </row>
    <row r="806" spans="4:7" x14ac:dyDescent="0.25">
      <c r="D806" s="70"/>
      <c r="E806" s="70"/>
      <c r="F806" s="71"/>
      <c r="G806" s="70"/>
    </row>
    <row r="807" spans="4:7" x14ac:dyDescent="0.25">
      <c r="D807" s="70"/>
      <c r="E807" s="70"/>
      <c r="F807" s="71"/>
      <c r="G807" s="70"/>
    </row>
    <row r="808" spans="4:7" x14ac:dyDescent="0.25">
      <c r="D808" s="70"/>
      <c r="E808" s="70"/>
      <c r="F808" s="71"/>
      <c r="G808" s="70"/>
    </row>
    <row r="809" spans="4:7" x14ac:dyDescent="0.25">
      <c r="D809" s="70"/>
      <c r="E809" s="70"/>
      <c r="F809" s="71"/>
      <c r="G809" s="70"/>
    </row>
    <row r="810" spans="4:7" x14ac:dyDescent="0.25">
      <c r="D810" s="70"/>
      <c r="E810" s="70"/>
      <c r="F810" s="71"/>
      <c r="G810" s="70"/>
    </row>
    <row r="811" spans="4:7" x14ac:dyDescent="0.25">
      <c r="D811" s="70"/>
      <c r="E811" s="70"/>
      <c r="F811" s="71"/>
      <c r="G811" s="70"/>
    </row>
    <row r="812" spans="4:7" x14ac:dyDescent="0.25">
      <c r="D812" s="70"/>
      <c r="E812" s="70"/>
      <c r="F812" s="71"/>
      <c r="G812" s="70"/>
    </row>
    <row r="813" spans="4:7" x14ac:dyDescent="0.25">
      <c r="D813" s="70"/>
      <c r="E813" s="70"/>
      <c r="F813" s="71"/>
      <c r="G813" s="70"/>
    </row>
    <row r="814" spans="4:7" x14ac:dyDescent="0.25">
      <c r="D814" s="70"/>
      <c r="E814" s="70"/>
      <c r="F814" s="71"/>
      <c r="G814" s="70"/>
    </row>
    <row r="815" spans="4:7" x14ac:dyDescent="0.25">
      <c r="D815" s="70"/>
      <c r="E815" s="70"/>
      <c r="F815" s="71"/>
      <c r="G815" s="70"/>
    </row>
    <row r="816" spans="4:7" x14ac:dyDescent="0.25">
      <c r="D816" s="70"/>
      <c r="E816" s="70"/>
      <c r="F816" s="71"/>
      <c r="G816" s="70"/>
    </row>
    <row r="817" spans="4:7" x14ac:dyDescent="0.25">
      <c r="D817" s="70"/>
      <c r="E817" s="70"/>
      <c r="F817" s="71"/>
      <c r="G817" s="70"/>
    </row>
    <row r="818" spans="4:7" x14ac:dyDescent="0.25">
      <c r="D818" s="70"/>
      <c r="E818" s="70"/>
      <c r="F818" s="71"/>
      <c r="G818" s="70"/>
    </row>
    <row r="819" spans="4:7" x14ac:dyDescent="0.25">
      <c r="D819" s="70"/>
      <c r="E819" s="70"/>
      <c r="F819" s="71"/>
      <c r="G819" s="70"/>
    </row>
    <row r="820" spans="4:7" x14ac:dyDescent="0.25">
      <c r="D820" s="70"/>
      <c r="E820" s="70"/>
      <c r="F820" s="71"/>
      <c r="G820" s="70"/>
    </row>
    <row r="821" spans="4:7" x14ac:dyDescent="0.25">
      <c r="D821" s="70"/>
      <c r="E821" s="70"/>
      <c r="F821" s="71"/>
      <c r="G821" s="70"/>
    </row>
    <row r="822" spans="4:7" x14ac:dyDescent="0.25">
      <c r="D822" s="70"/>
      <c r="E822" s="70"/>
      <c r="F822" s="71"/>
      <c r="G822" s="70"/>
    </row>
    <row r="823" spans="4:7" x14ac:dyDescent="0.25">
      <c r="D823" s="70"/>
      <c r="E823" s="70"/>
      <c r="F823" s="71"/>
      <c r="G823" s="70"/>
    </row>
    <row r="824" spans="4:7" x14ac:dyDescent="0.25">
      <c r="D824" s="70"/>
      <c r="E824" s="70"/>
      <c r="F824" s="71"/>
      <c r="G824" s="70"/>
    </row>
    <row r="825" spans="4:7" x14ac:dyDescent="0.25">
      <c r="D825" s="70"/>
      <c r="E825" s="70"/>
      <c r="F825" s="71"/>
      <c r="G825" s="70"/>
    </row>
    <row r="826" spans="4:7" x14ac:dyDescent="0.25">
      <c r="D826" s="70"/>
      <c r="E826" s="70"/>
      <c r="F826" s="71"/>
      <c r="G826" s="70"/>
    </row>
    <row r="827" spans="4:7" x14ac:dyDescent="0.25">
      <c r="D827" s="70"/>
      <c r="E827" s="70"/>
      <c r="F827" s="71"/>
      <c r="G827" s="70"/>
    </row>
    <row r="828" spans="4:7" x14ac:dyDescent="0.25">
      <c r="D828" s="70"/>
      <c r="E828" s="70"/>
      <c r="F828" s="71"/>
      <c r="G828" s="70"/>
    </row>
    <row r="829" spans="4:7" x14ac:dyDescent="0.25">
      <c r="D829" s="70"/>
      <c r="E829" s="70"/>
      <c r="F829" s="71"/>
      <c r="G829" s="70"/>
    </row>
    <row r="830" spans="4:7" x14ac:dyDescent="0.25">
      <c r="D830" s="70"/>
      <c r="E830" s="70"/>
      <c r="F830" s="71"/>
      <c r="G830" s="70"/>
    </row>
    <row r="831" spans="4:7" x14ac:dyDescent="0.25">
      <c r="D831" s="70"/>
      <c r="E831" s="70"/>
      <c r="F831" s="71"/>
      <c r="G831" s="70"/>
    </row>
    <row r="832" spans="4:7" x14ac:dyDescent="0.25">
      <c r="D832" s="70"/>
      <c r="E832" s="70"/>
      <c r="F832" s="71"/>
      <c r="G832" s="70"/>
    </row>
    <row r="833" spans="4:7" x14ac:dyDescent="0.25">
      <c r="D833" s="70"/>
      <c r="E833" s="70"/>
      <c r="F833" s="71"/>
      <c r="G833" s="70"/>
    </row>
    <row r="834" spans="4:7" x14ac:dyDescent="0.25">
      <c r="D834" s="70"/>
      <c r="E834" s="70"/>
      <c r="F834" s="71"/>
      <c r="G834" s="70"/>
    </row>
    <row r="835" spans="4:7" x14ac:dyDescent="0.25">
      <c r="D835" s="70"/>
      <c r="E835" s="70"/>
      <c r="F835" s="71"/>
      <c r="G835" s="70"/>
    </row>
    <row r="836" spans="4:7" x14ac:dyDescent="0.25">
      <c r="D836" s="70"/>
      <c r="E836" s="70"/>
      <c r="F836" s="71"/>
      <c r="G836" s="70"/>
    </row>
    <row r="837" spans="4:7" x14ac:dyDescent="0.25">
      <c r="D837" s="70"/>
      <c r="E837" s="70"/>
      <c r="F837" s="71"/>
      <c r="G837" s="70"/>
    </row>
    <row r="838" spans="4:7" x14ac:dyDescent="0.25">
      <c r="D838" s="70"/>
      <c r="E838" s="70"/>
      <c r="F838" s="71"/>
      <c r="G838" s="70"/>
    </row>
    <row r="839" spans="4:7" x14ac:dyDescent="0.25">
      <c r="D839" s="70"/>
      <c r="E839" s="70"/>
      <c r="F839" s="71"/>
      <c r="G839" s="70"/>
    </row>
    <row r="840" spans="4:7" x14ac:dyDescent="0.25">
      <c r="D840" s="70"/>
      <c r="E840" s="70"/>
      <c r="F840" s="71"/>
      <c r="G840" s="70"/>
    </row>
    <row r="841" spans="4:7" x14ac:dyDescent="0.25">
      <c r="D841" s="70"/>
      <c r="E841" s="70"/>
      <c r="F841" s="71"/>
      <c r="G841" s="70"/>
    </row>
    <row r="842" spans="4:7" x14ac:dyDescent="0.25">
      <c r="D842" s="70"/>
      <c r="E842" s="70"/>
      <c r="F842" s="71"/>
      <c r="G842" s="70"/>
    </row>
    <row r="843" spans="4:7" x14ac:dyDescent="0.25">
      <c r="D843" s="70"/>
      <c r="E843" s="70"/>
      <c r="F843" s="71"/>
      <c r="G843" s="70"/>
    </row>
    <row r="844" spans="4:7" x14ac:dyDescent="0.25">
      <c r="D844" s="70"/>
      <c r="E844" s="70"/>
      <c r="F844" s="71"/>
      <c r="G844" s="70"/>
    </row>
    <row r="845" spans="4:7" x14ac:dyDescent="0.25">
      <c r="D845" s="70"/>
      <c r="E845" s="70"/>
      <c r="F845" s="71"/>
      <c r="G845" s="70"/>
    </row>
    <row r="846" spans="4:7" x14ac:dyDescent="0.25">
      <c r="D846" s="70"/>
      <c r="E846" s="70"/>
      <c r="F846" s="71"/>
      <c r="G846" s="70"/>
    </row>
    <row r="847" spans="4:7" x14ac:dyDescent="0.25">
      <c r="D847" s="70"/>
      <c r="E847" s="70"/>
      <c r="F847" s="71"/>
      <c r="G847" s="70"/>
    </row>
    <row r="848" spans="4:7" x14ac:dyDescent="0.25">
      <c r="D848" s="70"/>
      <c r="E848" s="70"/>
      <c r="F848" s="71"/>
      <c r="G848" s="70"/>
    </row>
    <row r="849" spans="4:7" x14ac:dyDescent="0.25">
      <c r="D849" s="70"/>
      <c r="E849" s="70"/>
      <c r="F849" s="71"/>
      <c r="G849" s="70"/>
    </row>
    <row r="850" spans="4:7" x14ac:dyDescent="0.25">
      <c r="D850" s="70"/>
      <c r="E850" s="70"/>
      <c r="F850" s="71"/>
      <c r="G850" s="70"/>
    </row>
    <row r="851" spans="4:7" x14ac:dyDescent="0.25">
      <c r="D851" s="70"/>
      <c r="E851" s="70"/>
      <c r="F851" s="71"/>
      <c r="G851" s="70"/>
    </row>
    <row r="852" spans="4:7" x14ac:dyDescent="0.25">
      <c r="D852" s="70"/>
      <c r="E852" s="70"/>
      <c r="F852" s="71"/>
      <c r="G852" s="70"/>
    </row>
    <row r="853" spans="4:7" x14ac:dyDescent="0.25">
      <c r="D853" s="70"/>
      <c r="E853" s="70"/>
      <c r="F853" s="71"/>
      <c r="G853" s="70"/>
    </row>
    <row r="854" spans="4:7" x14ac:dyDescent="0.25">
      <c r="D854" s="70"/>
      <c r="E854" s="70"/>
      <c r="F854" s="71"/>
      <c r="G854" s="70"/>
    </row>
    <row r="855" spans="4:7" x14ac:dyDescent="0.25">
      <c r="D855" s="70"/>
      <c r="E855" s="70"/>
      <c r="F855" s="71"/>
      <c r="G855" s="70"/>
    </row>
    <row r="856" spans="4:7" x14ac:dyDescent="0.25">
      <c r="D856" s="70"/>
      <c r="E856" s="70"/>
      <c r="F856" s="71"/>
      <c r="G856" s="70"/>
    </row>
    <row r="857" spans="4:7" x14ac:dyDescent="0.25">
      <c r="D857" s="70"/>
      <c r="E857" s="70"/>
      <c r="F857" s="71"/>
      <c r="G857" s="70"/>
    </row>
    <row r="858" spans="4:7" x14ac:dyDescent="0.25">
      <c r="D858" s="70"/>
      <c r="E858" s="70"/>
      <c r="F858" s="71"/>
      <c r="G858" s="70"/>
    </row>
    <row r="859" spans="4:7" x14ac:dyDescent="0.25">
      <c r="D859" s="70"/>
      <c r="E859" s="70"/>
      <c r="F859" s="71"/>
      <c r="G859" s="70"/>
    </row>
    <row r="860" spans="4:7" x14ac:dyDescent="0.25">
      <c r="D860" s="70"/>
      <c r="E860" s="70"/>
      <c r="F860" s="71"/>
      <c r="G860" s="70"/>
    </row>
    <row r="861" spans="4:7" x14ac:dyDescent="0.25">
      <c r="D861" s="70"/>
      <c r="E861" s="70"/>
      <c r="F861" s="71"/>
      <c r="G861" s="70"/>
    </row>
    <row r="862" spans="4:7" x14ac:dyDescent="0.25">
      <c r="D862" s="70"/>
      <c r="E862" s="70"/>
      <c r="F862" s="71"/>
      <c r="G862" s="70"/>
    </row>
    <row r="863" spans="4:7" x14ac:dyDescent="0.25">
      <c r="D863" s="70"/>
      <c r="E863" s="70"/>
      <c r="F863" s="71"/>
      <c r="G863" s="70"/>
    </row>
    <row r="864" spans="4:7" x14ac:dyDescent="0.25">
      <c r="D864" s="70"/>
      <c r="E864" s="70"/>
      <c r="F864" s="71"/>
      <c r="G864" s="70"/>
    </row>
    <row r="865" spans="4:7" x14ac:dyDescent="0.25">
      <c r="D865" s="70"/>
      <c r="E865" s="70"/>
      <c r="F865" s="71"/>
      <c r="G865" s="70"/>
    </row>
    <row r="866" spans="4:7" x14ac:dyDescent="0.25">
      <c r="D866" s="70"/>
      <c r="E866" s="70"/>
      <c r="F866" s="71"/>
      <c r="G866" s="70"/>
    </row>
    <row r="867" spans="4:7" x14ac:dyDescent="0.25">
      <c r="D867" s="70"/>
      <c r="E867" s="70"/>
      <c r="F867" s="71"/>
      <c r="G867" s="70"/>
    </row>
    <row r="868" spans="4:7" x14ac:dyDescent="0.25">
      <c r="D868" s="70"/>
      <c r="E868" s="70"/>
      <c r="F868" s="71"/>
      <c r="G868" s="70"/>
    </row>
    <row r="869" spans="4:7" x14ac:dyDescent="0.25">
      <c r="D869" s="70"/>
      <c r="E869" s="70"/>
      <c r="F869" s="71"/>
      <c r="G869" s="70"/>
    </row>
    <row r="870" spans="4:7" x14ac:dyDescent="0.25">
      <c r="D870" s="70"/>
      <c r="E870" s="70"/>
      <c r="F870" s="71"/>
      <c r="G870" s="70"/>
    </row>
    <row r="871" spans="4:7" x14ac:dyDescent="0.25">
      <c r="D871" s="70"/>
      <c r="E871" s="70"/>
      <c r="F871" s="71"/>
      <c r="G871" s="70"/>
    </row>
    <row r="872" spans="4:7" x14ac:dyDescent="0.25">
      <c r="D872" s="70"/>
      <c r="E872" s="70"/>
      <c r="F872" s="71"/>
      <c r="G872" s="70"/>
    </row>
    <row r="873" spans="4:7" x14ac:dyDescent="0.25">
      <c r="D873" s="70"/>
      <c r="E873" s="70"/>
      <c r="F873" s="71"/>
      <c r="G873" s="70"/>
    </row>
    <row r="874" spans="4:7" x14ac:dyDescent="0.25">
      <c r="D874" s="70"/>
      <c r="E874" s="70"/>
      <c r="F874" s="71"/>
      <c r="G874" s="70"/>
    </row>
    <row r="875" spans="4:7" x14ac:dyDescent="0.25">
      <c r="D875" s="70"/>
      <c r="E875" s="70"/>
      <c r="F875" s="71"/>
      <c r="G875" s="70"/>
    </row>
    <row r="876" spans="4:7" x14ac:dyDescent="0.25">
      <c r="D876" s="70"/>
      <c r="E876" s="70"/>
      <c r="F876" s="71"/>
      <c r="G876" s="70"/>
    </row>
    <row r="877" spans="4:7" x14ac:dyDescent="0.25">
      <c r="D877" s="70"/>
      <c r="E877" s="70"/>
      <c r="F877" s="71"/>
      <c r="G877" s="70"/>
    </row>
    <row r="878" spans="4:7" x14ac:dyDescent="0.25">
      <c r="D878" s="70"/>
      <c r="E878" s="70"/>
      <c r="F878" s="71"/>
      <c r="G878" s="70"/>
    </row>
    <row r="879" spans="4:7" x14ac:dyDescent="0.25">
      <c r="D879" s="70"/>
      <c r="E879" s="70"/>
      <c r="F879" s="71"/>
      <c r="G879" s="70"/>
    </row>
    <row r="880" spans="4:7" x14ac:dyDescent="0.25">
      <c r="D880" s="70"/>
      <c r="E880" s="70"/>
      <c r="F880" s="71"/>
      <c r="G880" s="70"/>
    </row>
    <row r="881" spans="4:7" x14ac:dyDescent="0.25">
      <c r="D881" s="70"/>
      <c r="E881" s="70"/>
      <c r="F881" s="71"/>
      <c r="G881" s="70"/>
    </row>
    <row r="882" spans="4:7" x14ac:dyDescent="0.25">
      <c r="D882" s="70"/>
      <c r="E882" s="70"/>
      <c r="F882" s="71"/>
      <c r="G882" s="70"/>
    </row>
    <row r="883" spans="4:7" x14ac:dyDescent="0.25">
      <c r="D883" s="70"/>
      <c r="E883" s="70"/>
      <c r="F883" s="71"/>
      <c r="G883" s="70"/>
    </row>
    <row r="884" spans="4:7" x14ac:dyDescent="0.25">
      <c r="D884" s="70"/>
      <c r="E884" s="70"/>
      <c r="F884" s="71"/>
      <c r="G884" s="70"/>
    </row>
    <row r="885" spans="4:7" x14ac:dyDescent="0.25">
      <c r="D885" s="70"/>
      <c r="E885" s="70"/>
      <c r="F885" s="71"/>
      <c r="G885" s="70"/>
    </row>
    <row r="886" spans="4:7" x14ac:dyDescent="0.25">
      <c r="D886" s="70"/>
      <c r="E886" s="70"/>
      <c r="F886" s="71"/>
      <c r="G886" s="70"/>
    </row>
    <row r="887" spans="4:7" x14ac:dyDescent="0.25">
      <c r="D887" s="70"/>
      <c r="E887" s="70"/>
      <c r="F887" s="71"/>
      <c r="G887" s="70"/>
    </row>
    <row r="888" spans="4:7" x14ac:dyDescent="0.25">
      <c r="D888" s="70"/>
      <c r="E888" s="70"/>
      <c r="F888" s="71"/>
      <c r="G888" s="70"/>
    </row>
    <row r="889" spans="4:7" x14ac:dyDescent="0.25">
      <c r="D889" s="70"/>
      <c r="E889" s="70"/>
      <c r="F889" s="71"/>
      <c r="G889" s="70"/>
    </row>
    <row r="890" spans="4:7" x14ac:dyDescent="0.25">
      <c r="D890" s="70"/>
      <c r="E890" s="70"/>
      <c r="F890" s="71"/>
      <c r="G890" s="70"/>
    </row>
    <row r="891" spans="4:7" x14ac:dyDescent="0.25">
      <c r="D891" s="70"/>
      <c r="E891" s="70"/>
      <c r="F891" s="71"/>
      <c r="G891" s="70"/>
    </row>
    <row r="892" spans="4:7" x14ac:dyDescent="0.25">
      <c r="D892" s="70"/>
      <c r="E892" s="70"/>
      <c r="F892" s="71"/>
      <c r="G892" s="70"/>
    </row>
    <row r="893" spans="4:7" x14ac:dyDescent="0.25">
      <c r="D893" s="70"/>
      <c r="E893" s="70"/>
      <c r="F893" s="71"/>
      <c r="G893" s="70"/>
    </row>
    <row r="894" spans="4:7" x14ac:dyDescent="0.25">
      <c r="D894" s="70"/>
      <c r="E894" s="70"/>
      <c r="F894" s="71"/>
      <c r="G894" s="70"/>
    </row>
    <row r="895" spans="4:7" x14ac:dyDescent="0.25">
      <c r="D895" s="70"/>
      <c r="E895" s="70"/>
      <c r="F895" s="71"/>
      <c r="G895" s="70"/>
    </row>
    <row r="896" spans="4:7" x14ac:dyDescent="0.25">
      <c r="D896" s="70"/>
      <c r="E896" s="70"/>
      <c r="F896" s="71"/>
      <c r="G896" s="70"/>
    </row>
    <row r="897" spans="4:7" x14ac:dyDescent="0.25">
      <c r="D897" s="70"/>
      <c r="E897" s="70"/>
      <c r="F897" s="71"/>
      <c r="G897" s="70"/>
    </row>
    <row r="898" spans="4:7" x14ac:dyDescent="0.25">
      <c r="D898" s="70"/>
      <c r="E898" s="70"/>
      <c r="F898" s="71"/>
      <c r="G898" s="70"/>
    </row>
    <row r="899" spans="4:7" x14ac:dyDescent="0.25">
      <c r="D899" s="70"/>
      <c r="E899" s="70"/>
      <c r="F899" s="71"/>
      <c r="G899" s="70"/>
    </row>
    <row r="900" spans="4:7" x14ac:dyDescent="0.25">
      <c r="D900" s="70"/>
      <c r="E900" s="70"/>
      <c r="F900" s="71"/>
      <c r="G900" s="70"/>
    </row>
    <row r="901" spans="4:7" x14ac:dyDescent="0.25">
      <c r="D901" s="70"/>
      <c r="E901" s="70"/>
      <c r="F901" s="71"/>
      <c r="G901" s="70"/>
    </row>
    <row r="902" spans="4:7" x14ac:dyDescent="0.25">
      <c r="D902" s="70"/>
      <c r="E902" s="70"/>
      <c r="F902" s="71"/>
      <c r="G902" s="70"/>
    </row>
    <row r="903" spans="4:7" x14ac:dyDescent="0.25">
      <c r="D903" s="70"/>
      <c r="E903" s="70"/>
      <c r="F903" s="71"/>
      <c r="G903" s="70"/>
    </row>
    <row r="904" spans="4:7" x14ac:dyDescent="0.25">
      <c r="D904" s="70"/>
      <c r="E904" s="70"/>
      <c r="F904" s="71"/>
      <c r="G904" s="70"/>
    </row>
    <row r="905" spans="4:7" x14ac:dyDescent="0.25">
      <c r="D905" s="70"/>
      <c r="E905" s="70"/>
      <c r="F905" s="71"/>
      <c r="G905" s="70"/>
    </row>
    <row r="906" spans="4:7" x14ac:dyDescent="0.25">
      <c r="D906" s="70"/>
      <c r="E906" s="70"/>
      <c r="F906" s="71"/>
      <c r="G906" s="70"/>
    </row>
    <row r="907" spans="4:7" x14ac:dyDescent="0.25">
      <c r="D907" s="70"/>
      <c r="E907" s="70"/>
      <c r="F907" s="71"/>
      <c r="G907" s="70"/>
    </row>
    <row r="908" spans="4:7" x14ac:dyDescent="0.25">
      <c r="D908" s="70"/>
      <c r="E908" s="70"/>
      <c r="F908" s="71"/>
      <c r="G908" s="70"/>
    </row>
    <row r="909" spans="4:7" x14ac:dyDescent="0.25">
      <c r="D909" s="70"/>
      <c r="E909" s="70"/>
      <c r="F909" s="71"/>
      <c r="G909" s="70"/>
    </row>
    <row r="910" spans="4:7" x14ac:dyDescent="0.25">
      <c r="D910" s="70"/>
      <c r="E910" s="70"/>
      <c r="F910" s="71"/>
      <c r="G910" s="70"/>
    </row>
    <row r="911" spans="4:7" x14ac:dyDescent="0.25">
      <c r="D911" s="70"/>
      <c r="E911" s="70"/>
      <c r="F911" s="71"/>
      <c r="G911" s="70"/>
    </row>
    <row r="912" spans="4:7" x14ac:dyDescent="0.25">
      <c r="D912" s="70"/>
      <c r="E912" s="70"/>
      <c r="F912" s="71"/>
      <c r="G912" s="70"/>
    </row>
    <row r="913" spans="4:7" x14ac:dyDescent="0.25">
      <c r="D913" s="70"/>
      <c r="E913" s="70"/>
      <c r="F913" s="71"/>
      <c r="G913" s="70"/>
    </row>
    <row r="914" spans="4:7" x14ac:dyDescent="0.25">
      <c r="D914" s="70"/>
      <c r="E914" s="70"/>
      <c r="F914" s="71"/>
      <c r="G914" s="70"/>
    </row>
    <row r="915" spans="4:7" x14ac:dyDescent="0.25">
      <c r="D915" s="70"/>
      <c r="E915" s="70"/>
      <c r="F915" s="71"/>
      <c r="G915" s="70"/>
    </row>
    <row r="916" spans="4:7" x14ac:dyDescent="0.25">
      <c r="D916" s="70"/>
      <c r="E916" s="70"/>
      <c r="F916" s="71"/>
      <c r="G916" s="70"/>
    </row>
    <row r="917" spans="4:7" x14ac:dyDescent="0.25">
      <c r="D917" s="70"/>
      <c r="E917" s="70"/>
      <c r="F917" s="71"/>
      <c r="G917" s="70"/>
    </row>
    <row r="918" spans="4:7" x14ac:dyDescent="0.25">
      <c r="D918" s="70"/>
      <c r="E918" s="70"/>
      <c r="F918" s="71"/>
      <c r="G918" s="70"/>
    </row>
    <row r="919" spans="4:7" x14ac:dyDescent="0.25">
      <c r="D919" s="70"/>
      <c r="E919" s="70"/>
      <c r="F919" s="71"/>
      <c r="G919" s="70"/>
    </row>
    <row r="920" spans="4:7" x14ac:dyDescent="0.25">
      <c r="D920" s="70"/>
      <c r="E920" s="70"/>
      <c r="F920" s="71"/>
      <c r="G920" s="70"/>
    </row>
    <row r="921" spans="4:7" x14ac:dyDescent="0.25">
      <c r="D921" s="70"/>
      <c r="E921" s="70"/>
      <c r="F921" s="71"/>
      <c r="G921" s="70"/>
    </row>
    <row r="922" spans="4:7" x14ac:dyDescent="0.25">
      <c r="D922" s="70"/>
      <c r="E922" s="70"/>
      <c r="F922" s="71"/>
      <c r="G922" s="70"/>
    </row>
    <row r="923" spans="4:7" x14ac:dyDescent="0.25">
      <c r="D923" s="70"/>
      <c r="E923" s="70"/>
      <c r="F923" s="71"/>
      <c r="G923" s="70"/>
    </row>
    <row r="924" spans="4:7" x14ac:dyDescent="0.25">
      <c r="D924" s="70"/>
      <c r="E924" s="70"/>
      <c r="F924" s="71"/>
      <c r="G924" s="70"/>
    </row>
    <row r="925" spans="4:7" x14ac:dyDescent="0.25">
      <c r="D925" s="70"/>
      <c r="E925" s="70"/>
      <c r="F925" s="71"/>
      <c r="G925" s="70"/>
    </row>
    <row r="926" spans="4:7" x14ac:dyDescent="0.25">
      <c r="D926" s="70"/>
      <c r="E926" s="70"/>
      <c r="F926" s="71"/>
      <c r="G926" s="70"/>
    </row>
    <row r="927" spans="4:7" x14ac:dyDescent="0.25">
      <c r="D927" s="70"/>
      <c r="E927" s="70"/>
      <c r="F927" s="71"/>
      <c r="G927" s="70"/>
    </row>
    <row r="928" spans="4:7" x14ac:dyDescent="0.25">
      <c r="D928" s="70"/>
      <c r="E928" s="70"/>
      <c r="F928" s="71"/>
      <c r="G928" s="70"/>
    </row>
    <row r="929" spans="4:7" x14ac:dyDescent="0.25">
      <c r="D929" s="70"/>
      <c r="E929" s="70"/>
      <c r="F929" s="71"/>
      <c r="G929" s="70"/>
    </row>
    <row r="930" spans="4:7" x14ac:dyDescent="0.25">
      <c r="D930" s="70"/>
      <c r="E930" s="70"/>
      <c r="F930" s="71"/>
      <c r="G930" s="70"/>
    </row>
    <row r="931" spans="4:7" x14ac:dyDescent="0.25">
      <c r="D931" s="70"/>
      <c r="E931" s="70"/>
      <c r="F931" s="71"/>
      <c r="G931" s="70"/>
    </row>
    <row r="932" spans="4:7" x14ac:dyDescent="0.25">
      <c r="D932" s="70"/>
      <c r="E932" s="70"/>
      <c r="F932" s="71"/>
      <c r="G932" s="70"/>
    </row>
    <row r="933" spans="4:7" x14ac:dyDescent="0.25">
      <c r="D933" s="70"/>
      <c r="E933" s="70"/>
      <c r="F933" s="71"/>
      <c r="G933" s="70"/>
    </row>
    <row r="934" spans="4:7" x14ac:dyDescent="0.25">
      <c r="D934" s="70"/>
      <c r="E934" s="70"/>
      <c r="F934" s="71"/>
      <c r="G934" s="70"/>
    </row>
    <row r="935" spans="4:7" x14ac:dyDescent="0.25">
      <c r="D935" s="70"/>
      <c r="E935" s="70"/>
      <c r="F935" s="71"/>
      <c r="G935" s="70"/>
    </row>
    <row r="936" spans="4:7" x14ac:dyDescent="0.25">
      <c r="D936" s="70"/>
      <c r="E936" s="70"/>
      <c r="F936" s="71"/>
      <c r="G936" s="70"/>
    </row>
    <row r="937" spans="4:7" x14ac:dyDescent="0.25">
      <c r="D937" s="70"/>
      <c r="E937" s="70"/>
      <c r="F937" s="71"/>
      <c r="G937" s="70"/>
    </row>
    <row r="938" spans="4:7" x14ac:dyDescent="0.25">
      <c r="D938" s="70"/>
      <c r="E938" s="70"/>
      <c r="F938" s="71"/>
      <c r="G938" s="70"/>
    </row>
    <row r="939" spans="4:7" x14ac:dyDescent="0.25">
      <c r="D939" s="70"/>
      <c r="E939" s="70"/>
      <c r="F939" s="71"/>
      <c r="G939" s="70"/>
    </row>
    <row r="940" spans="4:7" x14ac:dyDescent="0.25">
      <c r="D940" s="70"/>
      <c r="E940" s="70"/>
      <c r="F940" s="71"/>
      <c r="G940" s="70"/>
    </row>
    <row r="941" spans="4:7" x14ac:dyDescent="0.25">
      <c r="D941" s="70"/>
      <c r="E941" s="70"/>
      <c r="F941" s="71"/>
      <c r="G941" s="70"/>
    </row>
    <row r="942" spans="4:7" x14ac:dyDescent="0.25">
      <c r="D942" s="70"/>
      <c r="E942" s="70"/>
      <c r="F942" s="71"/>
      <c r="G942" s="70"/>
    </row>
    <row r="943" spans="4:7" x14ac:dyDescent="0.25">
      <c r="D943" s="70"/>
      <c r="E943" s="70"/>
      <c r="F943" s="71"/>
      <c r="G943" s="70"/>
    </row>
    <row r="944" spans="4:7" x14ac:dyDescent="0.25">
      <c r="D944" s="70"/>
      <c r="E944" s="70"/>
      <c r="F944" s="71"/>
      <c r="G944" s="70"/>
    </row>
    <row r="945" spans="4:7" x14ac:dyDescent="0.25">
      <c r="D945" s="70"/>
      <c r="E945" s="70"/>
      <c r="F945" s="71"/>
      <c r="G945" s="70"/>
    </row>
    <row r="946" spans="4:7" x14ac:dyDescent="0.25">
      <c r="D946" s="70"/>
      <c r="E946" s="70"/>
      <c r="F946" s="71"/>
      <c r="G946" s="70"/>
    </row>
    <row r="947" spans="4:7" x14ac:dyDescent="0.25">
      <c r="D947" s="70"/>
      <c r="E947" s="70"/>
      <c r="F947" s="71"/>
      <c r="G947" s="70"/>
    </row>
    <row r="948" spans="4:7" x14ac:dyDescent="0.25">
      <c r="D948" s="70"/>
      <c r="E948" s="70"/>
      <c r="F948" s="71"/>
      <c r="G948" s="70"/>
    </row>
    <row r="949" spans="4:7" x14ac:dyDescent="0.25">
      <c r="D949" s="70"/>
      <c r="E949" s="70"/>
      <c r="F949" s="71"/>
      <c r="G949" s="70"/>
    </row>
    <row r="950" spans="4:7" x14ac:dyDescent="0.25">
      <c r="D950" s="70"/>
      <c r="E950" s="70"/>
      <c r="F950" s="71"/>
      <c r="G950" s="70"/>
    </row>
    <row r="951" spans="4:7" x14ac:dyDescent="0.25">
      <c r="D951" s="70"/>
      <c r="E951" s="70"/>
      <c r="F951" s="71"/>
      <c r="G951" s="70"/>
    </row>
    <row r="952" spans="4:7" x14ac:dyDescent="0.25">
      <c r="D952" s="70"/>
      <c r="E952" s="70"/>
      <c r="F952" s="71"/>
      <c r="G952" s="70"/>
    </row>
    <row r="953" spans="4:7" x14ac:dyDescent="0.25">
      <c r="D953" s="70"/>
      <c r="E953" s="70"/>
      <c r="F953" s="71"/>
      <c r="G953" s="70"/>
    </row>
    <row r="954" spans="4:7" x14ac:dyDescent="0.25">
      <c r="D954" s="70"/>
      <c r="E954" s="70"/>
      <c r="F954" s="71"/>
      <c r="G954" s="70"/>
    </row>
    <row r="955" spans="4:7" x14ac:dyDescent="0.25">
      <c r="D955" s="70"/>
      <c r="E955" s="70"/>
      <c r="F955" s="71"/>
      <c r="G955" s="70"/>
    </row>
    <row r="956" spans="4:7" x14ac:dyDescent="0.25">
      <c r="D956" s="70"/>
      <c r="E956" s="70"/>
      <c r="F956" s="71"/>
      <c r="G956" s="70"/>
    </row>
    <row r="957" spans="4:7" x14ac:dyDescent="0.25">
      <c r="D957" s="70"/>
      <c r="E957" s="70"/>
      <c r="F957" s="71"/>
      <c r="G957" s="70"/>
    </row>
    <row r="958" spans="4:7" x14ac:dyDescent="0.25">
      <c r="D958" s="70"/>
      <c r="E958" s="70"/>
      <c r="F958" s="71"/>
      <c r="G958" s="70"/>
    </row>
    <row r="959" spans="4:7" x14ac:dyDescent="0.25">
      <c r="D959" s="70"/>
      <c r="E959" s="70"/>
      <c r="F959" s="71"/>
      <c r="G959" s="70"/>
    </row>
    <row r="960" spans="4:7" x14ac:dyDescent="0.25">
      <c r="D960" s="70"/>
      <c r="E960" s="70"/>
      <c r="F960" s="71"/>
      <c r="G960" s="70"/>
    </row>
    <row r="961" spans="4:7" x14ac:dyDescent="0.25">
      <c r="D961" s="70"/>
      <c r="E961" s="70"/>
      <c r="F961" s="71"/>
      <c r="G961" s="70"/>
    </row>
    <row r="962" spans="4:7" x14ac:dyDescent="0.25">
      <c r="D962" s="70"/>
      <c r="E962" s="70"/>
      <c r="F962" s="71"/>
      <c r="G962" s="70"/>
    </row>
    <row r="963" spans="4:7" x14ac:dyDescent="0.25">
      <c r="D963" s="70"/>
      <c r="E963" s="70"/>
      <c r="F963" s="71"/>
      <c r="G963" s="70"/>
    </row>
    <row r="964" spans="4:7" x14ac:dyDescent="0.25">
      <c r="D964" s="70"/>
      <c r="E964" s="70"/>
      <c r="F964" s="71"/>
      <c r="G964" s="70"/>
    </row>
    <row r="965" spans="4:7" x14ac:dyDescent="0.25">
      <c r="D965" s="70"/>
      <c r="E965" s="70"/>
      <c r="F965" s="71"/>
      <c r="G965" s="70"/>
    </row>
    <row r="966" spans="4:7" x14ac:dyDescent="0.25">
      <c r="D966" s="70"/>
      <c r="E966" s="70"/>
      <c r="F966" s="71"/>
      <c r="G966" s="70"/>
    </row>
    <row r="967" spans="4:7" x14ac:dyDescent="0.25">
      <c r="D967" s="70"/>
      <c r="E967" s="70"/>
      <c r="F967" s="71"/>
      <c r="G967" s="70"/>
    </row>
    <row r="968" spans="4:7" x14ac:dyDescent="0.25">
      <c r="D968" s="70"/>
      <c r="E968" s="70"/>
      <c r="F968" s="71"/>
      <c r="G968" s="70"/>
    </row>
    <row r="969" spans="4:7" x14ac:dyDescent="0.25">
      <c r="D969" s="70"/>
      <c r="E969" s="70"/>
      <c r="F969" s="71"/>
      <c r="G969" s="70"/>
    </row>
    <row r="970" spans="4:7" x14ac:dyDescent="0.25">
      <c r="D970" s="70"/>
      <c r="E970" s="70"/>
      <c r="F970" s="71"/>
      <c r="G970" s="70"/>
    </row>
    <row r="971" spans="4:7" x14ac:dyDescent="0.25">
      <c r="D971" s="70"/>
      <c r="E971" s="70"/>
      <c r="F971" s="71"/>
      <c r="G971" s="70"/>
    </row>
    <row r="972" spans="4:7" x14ac:dyDescent="0.25">
      <c r="D972" s="70"/>
      <c r="E972" s="70"/>
      <c r="F972" s="71"/>
      <c r="G972" s="70"/>
    </row>
    <row r="973" spans="4:7" x14ac:dyDescent="0.25">
      <c r="D973" s="70"/>
      <c r="E973" s="70"/>
      <c r="F973" s="71"/>
      <c r="G973" s="70"/>
    </row>
    <row r="974" spans="4:7" x14ac:dyDescent="0.25">
      <c r="D974" s="70"/>
      <c r="E974" s="70"/>
      <c r="F974" s="71"/>
      <c r="G974" s="70"/>
    </row>
    <row r="975" spans="4:7" x14ac:dyDescent="0.25">
      <c r="D975" s="70"/>
      <c r="E975" s="70"/>
      <c r="F975" s="71"/>
      <c r="G975" s="70"/>
    </row>
    <row r="976" spans="4:7" x14ac:dyDescent="0.25">
      <c r="D976" s="70"/>
      <c r="E976" s="70"/>
      <c r="F976" s="71"/>
      <c r="G976" s="70"/>
    </row>
    <row r="977" spans="4:7" x14ac:dyDescent="0.25">
      <c r="D977" s="70"/>
      <c r="E977" s="70"/>
      <c r="F977" s="71"/>
      <c r="G977" s="70"/>
    </row>
    <row r="978" spans="4:7" x14ac:dyDescent="0.25">
      <c r="D978" s="70"/>
      <c r="E978" s="70"/>
      <c r="F978" s="71"/>
      <c r="G978" s="70"/>
    </row>
    <row r="979" spans="4:7" x14ac:dyDescent="0.25">
      <c r="D979" s="70"/>
      <c r="E979" s="70"/>
      <c r="F979" s="71"/>
      <c r="G979" s="70"/>
    </row>
    <row r="980" spans="4:7" x14ac:dyDescent="0.25">
      <c r="D980" s="70"/>
      <c r="E980" s="70"/>
      <c r="F980" s="71"/>
      <c r="G980" s="70"/>
    </row>
    <row r="981" spans="4:7" x14ac:dyDescent="0.25">
      <c r="D981" s="70"/>
      <c r="E981" s="70"/>
      <c r="F981" s="71"/>
      <c r="G981" s="70"/>
    </row>
    <row r="982" spans="4:7" x14ac:dyDescent="0.25">
      <c r="D982" s="70"/>
      <c r="E982" s="70"/>
      <c r="F982" s="71"/>
      <c r="G982" s="70"/>
    </row>
    <row r="983" spans="4:7" x14ac:dyDescent="0.25">
      <c r="D983" s="70"/>
      <c r="E983" s="70"/>
      <c r="F983" s="71"/>
      <c r="G983" s="70"/>
    </row>
    <row r="984" spans="4:7" x14ac:dyDescent="0.25">
      <c r="D984" s="70"/>
      <c r="E984" s="70"/>
      <c r="F984" s="71"/>
      <c r="G984" s="70"/>
    </row>
    <row r="985" spans="4:7" x14ac:dyDescent="0.25">
      <c r="D985" s="70"/>
      <c r="E985" s="70"/>
      <c r="F985" s="71"/>
      <c r="G985" s="70"/>
    </row>
    <row r="986" spans="4:7" x14ac:dyDescent="0.25">
      <c r="D986" s="70"/>
      <c r="E986" s="70"/>
      <c r="F986" s="71"/>
      <c r="G986" s="70"/>
    </row>
    <row r="987" spans="4:7" x14ac:dyDescent="0.25">
      <c r="D987" s="70"/>
      <c r="E987" s="70"/>
      <c r="F987" s="71"/>
      <c r="G987" s="70"/>
    </row>
    <row r="988" spans="4:7" x14ac:dyDescent="0.25">
      <c r="D988" s="70"/>
      <c r="E988" s="70"/>
      <c r="F988" s="71"/>
      <c r="G988" s="70"/>
    </row>
    <row r="989" spans="4:7" x14ac:dyDescent="0.25">
      <c r="D989" s="70"/>
      <c r="E989" s="70"/>
      <c r="F989" s="71"/>
      <c r="G989" s="70"/>
    </row>
    <row r="990" spans="4:7" x14ac:dyDescent="0.25">
      <c r="D990" s="70"/>
      <c r="E990" s="70"/>
      <c r="F990" s="71"/>
      <c r="G990" s="70"/>
    </row>
    <row r="991" spans="4:7" x14ac:dyDescent="0.25">
      <c r="D991" s="70"/>
      <c r="E991" s="70"/>
      <c r="F991" s="71"/>
      <c r="G991" s="70"/>
    </row>
    <row r="992" spans="4:7" x14ac:dyDescent="0.25">
      <c r="D992" s="70"/>
      <c r="E992" s="70"/>
      <c r="F992" s="71"/>
      <c r="G992" s="70"/>
    </row>
    <row r="993" spans="2:7" x14ac:dyDescent="0.25">
      <c r="D993" s="70"/>
      <c r="E993" s="70"/>
      <c r="F993" s="71"/>
      <c r="G993" s="70"/>
    </row>
    <row r="994" spans="2:7" x14ac:dyDescent="0.25">
      <c r="D994" s="70"/>
      <c r="E994" s="70"/>
      <c r="F994" s="71"/>
      <c r="G994" s="70"/>
    </row>
    <row r="995" spans="2:7" x14ac:dyDescent="0.25">
      <c r="D995" s="70"/>
      <c r="E995" s="70"/>
      <c r="F995" s="71"/>
      <c r="G995" s="70"/>
    </row>
    <row r="996" spans="2:7" x14ac:dyDescent="0.25">
      <c r="D996" s="70"/>
      <c r="E996" s="70"/>
      <c r="F996" s="71"/>
      <c r="G996" s="70"/>
    </row>
    <row r="997" spans="2:7" x14ac:dyDescent="0.25">
      <c r="D997" s="70"/>
      <c r="E997" s="70"/>
      <c r="F997" s="71"/>
      <c r="G997" s="70"/>
    </row>
    <row r="998" spans="2:7" x14ac:dyDescent="0.25">
      <c r="B998" s="74"/>
    </row>
    <row r="999" spans="2:7" x14ac:dyDescent="0.25">
      <c r="B999" s="74"/>
    </row>
    <row r="1000" spans="2:7" x14ac:dyDescent="0.25">
      <c r="B1000" s="74"/>
      <c r="C1000" s="74"/>
    </row>
    <row r="1001" spans="2:7" x14ac:dyDescent="0.25">
      <c r="B1001" s="74"/>
    </row>
    <row r="1002" spans="2:7" x14ac:dyDescent="0.25">
      <c r="B1002" s="74"/>
    </row>
    <row r="1003" spans="2:7" x14ac:dyDescent="0.25">
      <c r="B1003" s="74"/>
    </row>
    <row r="1004" spans="2:7" x14ac:dyDescent="0.25">
      <c r="B1004" s="74"/>
    </row>
    <row r="1005" spans="2:7" x14ac:dyDescent="0.25">
      <c r="B1005" s="74"/>
    </row>
    <row r="1006" spans="2:7" x14ac:dyDescent="0.25">
      <c r="B1006" s="74"/>
    </row>
    <row r="1007" spans="2:7" x14ac:dyDescent="0.25">
      <c r="B1007" s="74"/>
    </row>
    <row r="1008" spans="2:7" x14ac:dyDescent="0.25">
      <c r="B1008" s="74"/>
    </row>
    <row r="1009" spans="2:2" x14ac:dyDescent="0.25">
      <c r="B1009" s="74"/>
    </row>
    <row r="1010" spans="2:2" x14ac:dyDescent="0.25">
      <c r="B1010" s="74"/>
    </row>
    <row r="1011" spans="2:2" x14ac:dyDescent="0.25">
      <c r="B1011" s="74"/>
    </row>
    <row r="1012" spans="2:2" x14ac:dyDescent="0.25">
      <c r="B1012" s="74"/>
    </row>
    <row r="1013" spans="2:2" x14ac:dyDescent="0.25">
      <c r="B1013" s="74"/>
    </row>
    <row r="1014" spans="2:2" x14ac:dyDescent="0.25">
      <c r="B1014" s="74"/>
    </row>
    <row r="1015" spans="2:2" x14ac:dyDescent="0.25">
      <c r="B1015" s="74"/>
    </row>
    <row r="1016" spans="2:2" x14ac:dyDescent="0.25">
      <c r="B1016" s="74"/>
    </row>
    <row r="1017" spans="2:2" x14ac:dyDescent="0.25">
      <c r="B1017" s="74"/>
    </row>
    <row r="1018" spans="2:2" x14ac:dyDescent="0.25">
      <c r="B1018" s="74"/>
    </row>
    <row r="1019" spans="2:2" x14ac:dyDescent="0.25">
      <c r="B1019" s="74"/>
    </row>
    <row r="1020" spans="2:2" x14ac:dyDescent="0.25">
      <c r="B1020" s="74"/>
    </row>
    <row r="1021" spans="2:2" x14ac:dyDescent="0.25">
      <c r="B1021" s="74"/>
    </row>
    <row r="1022" spans="2:2" x14ac:dyDescent="0.25">
      <c r="B1022" s="74"/>
    </row>
    <row r="1023" spans="2:2" x14ac:dyDescent="0.25">
      <c r="B1023" s="74"/>
    </row>
    <row r="1024" spans="2:2" x14ac:dyDescent="0.25">
      <c r="B1024" s="74"/>
    </row>
    <row r="1025" spans="2:2" x14ac:dyDescent="0.25">
      <c r="B1025" s="74"/>
    </row>
    <row r="1026" spans="2:2" x14ac:dyDescent="0.25">
      <c r="B1026" s="74"/>
    </row>
    <row r="1027" spans="2:2" x14ac:dyDescent="0.25">
      <c r="B1027" s="74"/>
    </row>
    <row r="1028" spans="2:2" x14ac:dyDescent="0.25">
      <c r="B1028" s="74"/>
    </row>
    <row r="1029" spans="2:2" x14ac:dyDescent="0.25">
      <c r="B1029" s="74"/>
    </row>
    <row r="1030" spans="2:2" x14ac:dyDescent="0.25">
      <c r="B1030" s="74"/>
    </row>
    <row r="1031" spans="2:2" x14ac:dyDescent="0.25">
      <c r="B1031" s="74"/>
    </row>
    <row r="1032" spans="2:2" x14ac:dyDescent="0.25">
      <c r="B1032" s="74"/>
    </row>
    <row r="1033" spans="2:2" x14ac:dyDescent="0.25">
      <c r="B1033" s="74"/>
    </row>
    <row r="1034" spans="2:2" x14ac:dyDescent="0.25">
      <c r="B1034" s="74"/>
    </row>
    <row r="1035" spans="2:2" x14ac:dyDescent="0.25">
      <c r="B1035" s="74"/>
    </row>
    <row r="1036" spans="2:2" x14ac:dyDescent="0.25">
      <c r="B1036" s="74"/>
    </row>
    <row r="1037" spans="2:2" x14ac:dyDescent="0.25">
      <c r="B1037" s="74"/>
    </row>
    <row r="1038" spans="2:2" x14ac:dyDescent="0.25">
      <c r="B1038" s="74"/>
    </row>
    <row r="1039" spans="2:2" x14ac:dyDescent="0.25">
      <c r="B1039" s="74"/>
    </row>
    <row r="1040" spans="2:2" x14ac:dyDescent="0.25">
      <c r="B1040" s="74"/>
    </row>
    <row r="1041" spans="2:2" x14ac:dyDescent="0.25">
      <c r="B1041" s="74"/>
    </row>
    <row r="1042" spans="2:2" x14ac:dyDescent="0.25">
      <c r="B1042" s="74"/>
    </row>
    <row r="1043" spans="2:2" x14ac:dyDescent="0.25">
      <c r="B1043" s="74"/>
    </row>
    <row r="1044" spans="2:2" x14ac:dyDescent="0.25">
      <c r="B1044" s="74"/>
    </row>
    <row r="1045" spans="2:2" x14ac:dyDescent="0.25">
      <c r="B1045" s="74"/>
    </row>
    <row r="1046" spans="2:2" x14ac:dyDescent="0.25">
      <c r="B1046" s="74"/>
    </row>
    <row r="1047" spans="2:2" x14ac:dyDescent="0.25">
      <c r="B1047" s="74"/>
    </row>
    <row r="1048" spans="2:2" x14ac:dyDescent="0.25">
      <c r="B1048" s="74"/>
    </row>
    <row r="1049" spans="2:2" x14ac:dyDescent="0.25">
      <c r="B1049" s="74"/>
    </row>
    <row r="1050" spans="2:2" x14ac:dyDescent="0.25">
      <c r="B1050" s="74"/>
    </row>
    <row r="1051" spans="2:2" x14ac:dyDescent="0.25">
      <c r="B1051" s="74"/>
    </row>
    <row r="1052" spans="2:2" x14ac:dyDescent="0.25">
      <c r="B1052" s="74"/>
    </row>
    <row r="1053" spans="2:2" x14ac:dyDescent="0.25">
      <c r="B1053" s="74"/>
    </row>
    <row r="1054" spans="2:2" x14ac:dyDescent="0.25">
      <c r="B1054" s="74"/>
    </row>
    <row r="1055" spans="2:2" x14ac:dyDescent="0.25">
      <c r="B1055" s="74"/>
    </row>
    <row r="1056" spans="2:2" x14ac:dyDescent="0.25">
      <c r="B1056" s="74"/>
    </row>
    <row r="1057" spans="2:2" x14ac:dyDescent="0.25">
      <c r="B1057" s="74"/>
    </row>
    <row r="1058" spans="2:2" x14ac:dyDescent="0.25">
      <c r="B1058" s="74"/>
    </row>
    <row r="1059" spans="2:2" x14ac:dyDescent="0.25">
      <c r="B1059" s="74"/>
    </row>
    <row r="1060" spans="2:2" x14ac:dyDescent="0.25">
      <c r="B1060" s="74"/>
    </row>
    <row r="1061" spans="2:2" x14ac:dyDescent="0.25">
      <c r="B1061" s="74"/>
    </row>
    <row r="1062" spans="2:2" x14ac:dyDescent="0.25">
      <c r="B1062" s="74"/>
    </row>
    <row r="1063" spans="2:2" x14ac:dyDescent="0.25">
      <c r="B1063" s="74"/>
    </row>
    <row r="1064" spans="2:2" x14ac:dyDescent="0.25">
      <c r="B1064" s="74"/>
    </row>
    <row r="1065" spans="2:2" x14ac:dyDescent="0.25">
      <c r="B1065" s="74"/>
    </row>
    <row r="1066" spans="2:2" x14ac:dyDescent="0.25">
      <c r="B1066" s="74"/>
    </row>
    <row r="1067" spans="2:2" x14ac:dyDescent="0.25">
      <c r="B1067" s="74"/>
    </row>
    <row r="1068" spans="2:2" x14ac:dyDescent="0.25">
      <c r="B1068" s="74"/>
    </row>
    <row r="1069" spans="2:2" x14ac:dyDescent="0.25">
      <c r="B1069" s="74"/>
    </row>
    <row r="1070" spans="2:2" x14ac:dyDescent="0.25">
      <c r="B1070" s="74"/>
    </row>
    <row r="1071" spans="2:2" x14ac:dyDescent="0.25">
      <c r="B1071" s="74"/>
    </row>
    <row r="1072" spans="2:2" x14ac:dyDescent="0.25">
      <c r="B1072" s="74"/>
    </row>
    <row r="1073" spans="2:2" x14ac:dyDescent="0.25">
      <c r="B1073" s="74"/>
    </row>
    <row r="1074" spans="2:2" x14ac:dyDescent="0.25">
      <c r="B1074" s="74"/>
    </row>
    <row r="1075" spans="2:2" x14ac:dyDescent="0.25">
      <c r="B1075" s="74"/>
    </row>
    <row r="1076" spans="2:2" x14ac:dyDescent="0.25">
      <c r="B1076" s="74"/>
    </row>
    <row r="1077" spans="2:2" x14ac:dyDescent="0.25">
      <c r="B1077" s="74"/>
    </row>
    <row r="1078" spans="2:2" x14ac:dyDescent="0.25">
      <c r="B1078" s="7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  <pageSetUpPr fitToPage="1"/>
  </sheetPr>
  <dimension ref="A1:T1007"/>
  <sheetViews>
    <sheetView showGridLines="0" topLeftCell="A29" zoomScale="70" zoomScaleNormal="70" workbookViewId="0">
      <selection activeCell="W66" sqref="W66"/>
    </sheetView>
  </sheetViews>
  <sheetFormatPr defaultColWidth="14.42578125" defaultRowHeight="12.75" x14ac:dyDescent="0.2"/>
  <cols>
    <col min="1" max="1" width="9.28515625" style="75" bestFit="1" customWidth="1"/>
    <col min="2" max="2" width="11.28515625" style="75" customWidth="1"/>
    <col min="3" max="3" width="31.28515625" style="75" bestFit="1" customWidth="1"/>
    <col min="4" max="4" width="9.42578125" style="75" customWidth="1"/>
    <col min="5" max="5" width="12.7109375" style="75" bestFit="1" customWidth="1"/>
    <col min="6" max="6" width="11.28515625" style="75" customWidth="1"/>
    <col min="7" max="7" width="12.5703125" style="75" customWidth="1"/>
    <col min="8" max="8" width="8.7109375" style="75" bestFit="1" customWidth="1"/>
    <col min="9" max="9" width="8.7109375" style="75" customWidth="1"/>
    <col min="10" max="10" width="9.7109375" style="75" customWidth="1"/>
    <col min="11" max="20" width="5.140625" style="75" bestFit="1" customWidth="1"/>
    <col min="21" max="16384" width="14.42578125" style="75"/>
  </cols>
  <sheetData>
    <row r="1" spans="1:20" x14ac:dyDescent="0.2">
      <c r="A1" s="76"/>
      <c r="B1" s="77"/>
    </row>
    <row r="2" spans="1:20" x14ac:dyDescent="0.2">
      <c r="A2" s="76"/>
      <c r="B2" s="77"/>
      <c r="G2" s="169"/>
    </row>
    <row r="3" spans="1:20" x14ac:dyDescent="0.2">
      <c r="A3" s="76"/>
      <c r="B3" s="77"/>
      <c r="G3" s="165"/>
      <c r="J3" s="168"/>
      <c r="K3" s="164"/>
      <c r="L3" s="165"/>
      <c r="M3" s="165"/>
      <c r="N3" s="165"/>
      <c r="O3" s="165"/>
      <c r="P3" s="165"/>
      <c r="Q3" s="165"/>
      <c r="R3" s="165"/>
      <c r="S3" s="165"/>
      <c r="T3" s="165"/>
    </row>
    <row r="4" spans="1:20" x14ac:dyDescent="0.2">
      <c r="A4" s="76"/>
      <c r="B4" s="77"/>
      <c r="D4" s="167"/>
      <c r="F4" s="170"/>
      <c r="G4" s="165"/>
      <c r="H4" s="168"/>
      <c r="I4" s="169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</row>
    <row r="5" spans="1:20" ht="20.25" x14ac:dyDescent="0.2">
      <c r="A5" s="163" t="s">
        <v>58</v>
      </c>
      <c r="B5" s="163"/>
      <c r="C5" s="163"/>
      <c r="D5" s="165"/>
      <c r="E5" s="171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</row>
    <row r="6" spans="1:20" ht="18.75" x14ac:dyDescent="0.2">
      <c r="A6" s="120"/>
      <c r="B6" s="121"/>
      <c r="C6" s="122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</row>
    <row r="7" spans="1:20" ht="66" x14ac:dyDescent="0.2">
      <c r="A7" s="89" t="s">
        <v>59</v>
      </c>
      <c r="B7" s="89" t="s">
        <v>60</v>
      </c>
      <c r="C7" s="89" t="s">
        <v>10</v>
      </c>
      <c r="D7" s="89" t="s">
        <v>27</v>
      </c>
      <c r="E7" s="89" t="s">
        <v>13</v>
      </c>
      <c r="F7" s="90" t="s">
        <v>223</v>
      </c>
      <c r="G7" s="90" t="s">
        <v>19</v>
      </c>
      <c r="H7" s="90" t="s">
        <v>62</v>
      </c>
      <c r="I7" s="90" t="s">
        <v>63</v>
      </c>
      <c r="J7" s="90" t="s">
        <v>224</v>
      </c>
      <c r="K7" s="91" t="s">
        <v>225</v>
      </c>
      <c r="L7" s="91" t="s">
        <v>226</v>
      </c>
      <c r="M7" s="91" t="s">
        <v>227</v>
      </c>
      <c r="N7" s="91" t="s">
        <v>228</v>
      </c>
      <c r="O7" s="91" t="s">
        <v>229</v>
      </c>
      <c r="P7" s="91" t="s">
        <v>230</v>
      </c>
      <c r="Q7" s="91" t="s">
        <v>231</v>
      </c>
      <c r="R7" s="91" t="s">
        <v>232</v>
      </c>
      <c r="S7" s="91" t="s">
        <v>233</v>
      </c>
      <c r="T7" s="91" t="s">
        <v>74</v>
      </c>
    </row>
    <row r="8" spans="1:20" ht="16.5" x14ac:dyDescent="0.25">
      <c r="A8" s="97">
        <v>1.1000000000000001</v>
      </c>
      <c r="B8" s="98" t="s">
        <v>28</v>
      </c>
      <c r="C8" s="99" t="s">
        <v>86</v>
      </c>
      <c r="D8" s="101" t="s">
        <v>177</v>
      </c>
      <c r="E8" s="40" t="s">
        <v>18</v>
      </c>
      <c r="F8" s="39">
        <v>8</v>
      </c>
      <c r="G8" s="39">
        <v>8</v>
      </c>
      <c r="H8" s="92">
        <v>0</v>
      </c>
      <c r="I8" s="92">
        <v>7</v>
      </c>
      <c r="J8" s="92">
        <f>SUM(I8-F8)</f>
        <v>-1</v>
      </c>
      <c r="K8" s="39">
        <v>8</v>
      </c>
      <c r="L8" s="39"/>
      <c r="M8" s="39"/>
      <c r="N8" s="39"/>
      <c r="O8" s="39"/>
      <c r="P8" s="39"/>
      <c r="Q8" s="39"/>
      <c r="R8" s="39"/>
      <c r="S8" s="39"/>
      <c r="T8" s="39"/>
    </row>
    <row r="9" spans="1:20" ht="16.5" x14ac:dyDescent="0.25">
      <c r="A9" s="97">
        <v>1.2</v>
      </c>
      <c r="B9" s="98" t="s">
        <v>28</v>
      </c>
      <c r="C9" s="101" t="s">
        <v>234</v>
      </c>
      <c r="D9" s="101" t="s">
        <v>92</v>
      </c>
      <c r="E9" s="40" t="s">
        <v>18</v>
      </c>
      <c r="F9" s="39">
        <v>8</v>
      </c>
      <c r="G9" s="39">
        <v>8</v>
      </c>
      <c r="H9" s="92">
        <v>0</v>
      </c>
      <c r="I9" s="92">
        <v>8</v>
      </c>
      <c r="J9" s="92">
        <f t="shared" ref="J9:J42" si="0">SUM(I9-F9)</f>
        <v>0</v>
      </c>
      <c r="K9" s="39"/>
      <c r="L9" s="123">
        <v>8</v>
      </c>
      <c r="M9" s="39"/>
      <c r="N9" s="39"/>
      <c r="O9" s="39"/>
      <c r="P9" s="39"/>
      <c r="Q9" s="39"/>
      <c r="R9" s="39"/>
      <c r="S9" s="39"/>
      <c r="T9" s="39"/>
    </row>
    <row r="10" spans="1:20" ht="16.5" x14ac:dyDescent="0.25">
      <c r="A10" s="97">
        <v>1.3</v>
      </c>
      <c r="B10" s="98" t="s">
        <v>28</v>
      </c>
      <c r="C10" s="101" t="s">
        <v>235</v>
      </c>
      <c r="D10" s="101" t="s">
        <v>177</v>
      </c>
      <c r="E10" s="40" t="s">
        <v>18</v>
      </c>
      <c r="F10" s="39">
        <v>8</v>
      </c>
      <c r="G10" s="39">
        <v>8</v>
      </c>
      <c r="H10" s="92">
        <v>0</v>
      </c>
      <c r="I10" s="92">
        <v>8</v>
      </c>
      <c r="J10" s="92">
        <f t="shared" si="0"/>
        <v>0</v>
      </c>
      <c r="K10" s="39"/>
      <c r="L10" s="39"/>
      <c r="M10" s="39"/>
      <c r="N10" s="39">
        <v>8</v>
      </c>
      <c r="O10" s="39"/>
      <c r="P10" s="39"/>
      <c r="Q10" s="39"/>
      <c r="R10" s="39"/>
      <c r="S10" s="39"/>
      <c r="T10" s="39"/>
    </row>
    <row r="11" spans="1:20" ht="16.5" x14ac:dyDescent="0.25">
      <c r="A11" s="97">
        <v>1.4</v>
      </c>
      <c r="B11" s="98" t="s">
        <v>28</v>
      </c>
      <c r="C11" s="101" t="s">
        <v>87</v>
      </c>
      <c r="D11" s="101" t="s">
        <v>177</v>
      </c>
      <c r="E11" s="40" t="s">
        <v>18</v>
      </c>
      <c r="F11" s="39">
        <v>6</v>
      </c>
      <c r="G11" s="39">
        <v>6</v>
      </c>
      <c r="H11" s="92">
        <v>0</v>
      </c>
      <c r="I11" s="92">
        <v>7</v>
      </c>
      <c r="J11" s="92">
        <f t="shared" si="0"/>
        <v>1</v>
      </c>
      <c r="K11" s="39"/>
      <c r="L11" s="39"/>
      <c r="M11" s="39"/>
      <c r="N11" s="39">
        <v>6</v>
      </c>
      <c r="O11" s="39"/>
      <c r="P11" s="39"/>
      <c r="Q11" s="39"/>
      <c r="R11" s="39"/>
      <c r="S11" s="39"/>
      <c r="T11" s="39"/>
    </row>
    <row r="12" spans="1:20" ht="16.5" x14ac:dyDescent="0.25">
      <c r="A12" s="97">
        <v>1.5</v>
      </c>
      <c r="B12" s="98" t="s">
        <v>28</v>
      </c>
      <c r="C12" s="101" t="s">
        <v>88</v>
      </c>
      <c r="D12" s="101" t="s">
        <v>89</v>
      </c>
      <c r="E12" s="40" t="s">
        <v>90</v>
      </c>
      <c r="F12" s="39">
        <v>5</v>
      </c>
      <c r="G12" s="39"/>
      <c r="H12" s="92">
        <v>5</v>
      </c>
      <c r="I12" s="92"/>
      <c r="J12" s="92">
        <f t="shared" si="0"/>
        <v>-5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</row>
    <row r="13" spans="1:20" ht="16.5" x14ac:dyDescent="0.25">
      <c r="A13" s="97">
        <v>1.6</v>
      </c>
      <c r="B13" s="98" t="s">
        <v>28</v>
      </c>
      <c r="C13" s="101" t="s">
        <v>91</v>
      </c>
      <c r="D13" s="101" t="s">
        <v>89</v>
      </c>
      <c r="E13" s="40" t="s">
        <v>90</v>
      </c>
      <c r="F13" s="39">
        <v>5</v>
      </c>
      <c r="G13" s="39"/>
      <c r="H13" s="92">
        <v>5</v>
      </c>
      <c r="I13" s="92"/>
      <c r="J13" s="92">
        <f t="shared" si="0"/>
        <v>-5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</row>
    <row r="14" spans="1:20" ht="16.5" x14ac:dyDescent="0.25">
      <c r="A14" s="124">
        <v>1.7</v>
      </c>
      <c r="B14" s="106" t="s">
        <v>29</v>
      </c>
      <c r="C14" s="107" t="s">
        <v>86</v>
      </c>
      <c r="D14" s="110" t="s">
        <v>181</v>
      </c>
      <c r="E14" s="40" t="s">
        <v>18</v>
      </c>
      <c r="F14" s="39">
        <v>4</v>
      </c>
      <c r="G14" s="39">
        <v>4</v>
      </c>
      <c r="H14" s="92">
        <v>0</v>
      </c>
      <c r="I14" s="92">
        <v>4</v>
      </c>
      <c r="J14" s="92">
        <f t="shared" si="0"/>
        <v>0</v>
      </c>
      <c r="K14" s="39">
        <v>4</v>
      </c>
      <c r="L14" s="39"/>
      <c r="M14" s="39"/>
      <c r="N14" s="39"/>
      <c r="O14" s="39"/>
      <c r="P14" s="39"/>
      <c r="Q14" s="39"/>
      <c r="R14" s="39"/>
      <c r="S14" s="39"/>
      <c r="T14" s="39"/>
    </row>
    <row r="15" spans="1:20" ht="16.5" x14ac:dyDescent="0.25">
      <c r="A15" s="124">
        <v>1.8</v>
      </c>
      <c r="B15" s="106" t="s">
        <v>29</v>
      </c>
      <c r="C15" s="110" t="s">
        <v>234</v>
      </c>
      <c r="D15" s="110" t="s">
        <v>92</v>
      </c>
      <c r="E15" s="40" t="s">
        <v>18</v>
      </c>
      <c r="F15" s="39">
        <v>7</v>
      </c>
      <c r="G15" s="39">
        <v>7</v>
      </c>
      <c r="H15" s="92">
        <v>0</v>
      </c>
      <c r="I15" s="92">
        <v>7</v>
      </c>
      <c r="J15" s="92">
        <f t="shared" si="0"/>
        <v>0</v>
      </c>
      <c r="K15" s="39"/>
      <c r="L15" s="39"/>
      <c r="M15" s="39">
        <v>7</v>
      </c>
      <c r="N15" s="39"/>
      <c r="O15" s="39"/>
      <c r="P15" s="39"/>
      <c r="Q15" s="39"/>
      <c r="R15" s="39"/>
      <c r="S15" s="39"/>
      <c r="T15" s="39"/>
    </row>
    <row r="16" spans="1:20" ht="16.5" x14ac:dyDescent="0.25">
      <c r="A16" s="124">
        <v>1.9</v>
      </c>
      <c r="B16" s="106" t="s">
        <v>29</v>
      </c>
      <c r="C16" s="110" t="s">
        <v>235</v>
      </c>
      <c r="D16" s="110" t="s">
        <v>181</v>
      </c>
      <c r="E16" s="40" t="s">
        <v>18</v>
      </c>
      <c r="F16" s="39">
        <v>8</v>
      </c>
      <c r="G16" s="39">
        <v>8</v>
      </c>
      <c r="H16" s="92">
        <v>0</v>
      </c>
      <c r="I16" s="92">
        <v>7</v>
      </c>
      <c r="J16" s="92">
        <f t="shared" si="0"/>
        <v>-1</v>
      </c>
      <c r="K16" s="39"/>
      <c r="L16" s="39"/>
      <c r="M16" s="39"/>
      <c r="N16" s="39">
        <v>8</v>
      </c>
      <c r="O16" s="39"/>
      <c r="P16" s="39"/>
      <c r="Q16" s="39"/>
      <c r="R16" s="39"/>
      <c r="S16" s="39"/>
      <c r="T16" s="39"/>
    </row>
    <row r="17" spans="1:20" ht="16.5" x14ac:dyDescent="0.25">
      <c r="A17" s="125">
        <v>1.1000000000000001</v>
      </c>
      <c r="B17" s="106" t="s">
        <v>29</v>
      </c>
      <c r="C17" s="110" t="s">
        <v>183</v>
      </c>
      <c r="D17" s="110" t="s">
        <v>181</v>
      </c>
      <c r="E17" s="40" t="s">
        <v>18</v>
      </c>
      <c r="F17" s="39">
        <v>8</v>
      </c>
      <c r="G17" s="39">
        <v>8</v>
      </c>
      <c r="H17" s="92">
        <v>0</v>
      </c>
      <c r="I17" s="92">
        <v>7</v>
      </c>
      <c r="J17" s="92">
        <f t="shared" si="0"/>
        <v>-1</v>
      </c>
      <c r="K17" s="39"/>
      <c r="L17" s="39"/>
      <c r="M17" s="39"/>
      <c r="N17" s="39"/>
      <c r="O17" s="39">
        <v>8</v>
      </c>
      <c r="P17" s="39"/>
      <c r="Q17" s="39"/>
      <c r="R17" s="39"/>
      <c r="S17" s="39"/>
      <c r="T17" s="39"/>
    </row>
    <row r="18" spans="1:20" ht="16.5" x14ac:dyDescent="0.25">
      <c r="A18" s="124">
        <v>1.1100000000000001</v>
      </c>
      <c r="B18" s="106" t="s">
        <v>29</v>
      </c>
      <c r="C18" s="110" t="s">
        <v>88</v>
      </c>
      <c r="D18" s="110" t="s">
        <v>89</v>
      </c>
      <c r="E18" s="40" t="s">
        <v>90</v>
      </c>
      <c r="F18" s="39">
        <v>4</v>
      </c>
      <c r="G18" s="39"/>
      <c r="H18" s="92">
        <v>4</v>
      </c>
      <c r="I18" s="92"/>
      <c r="J18" s="92">
        <f t="shared" si="0"/>
        <v>-4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</row>
    <row r="19" spans="1:20" ht="16.5" x14ac:dyDescent="0.25">
      <c r="A19" s="124">
        <v>1.1200000000000001</v>
      </c>
      <c r="B19" s="106" t="s">
        <v>29</v>
      </c>
      <c r="C19" s="110" t="s">
        <v>91</v>
      </c>
      <c r="D19" s="110" t="s">
        <v>89</v>
      </c>
      <c r="E19" s="40" t="s">
        <v>90</v>
      </c>
      <c r="F19" s="39">
        <v>4</v>
      </c>
      <c r="G19" s="39"/>
      <c r="H19" s="92">
        <v>4</v>
      </c>
      <c r="I19" s="92"/>
      <c r="J19" s="92">
        <f t="shared" si="0"/>
        <v>-4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</row>
    <row r="20" spans="1:20" ht="16.5" x14ac:dyDescent="0.25">
      <c r="A20" s="97">
        <v>1.1299999999999999</v>
      </c>
      <c r="B20" s="98" t="s">
        <v>30</v>
      </c>
      <c r="C20" s="99" t="s">
        <v>86</v>
      </c>
      <c r="D20" s="101" t="s">
        <v>177</v>
      </c>
      <c r="E20" s="40" t="s">
        <v>18</v>
      </c>
      <c r="F20" s="39">
        <v>3</v>
      </c>
      <c r="G20" s="39">
        <v>3</v>
      </c>
      <c r="H20" s="92">
        <v>0</v>
      </c>
      <c r="I20" s="92">
        <v>3</v>
      </c>
      <c r="J20" s="92">
        <f t="shared" si="0"/>
        <v>0</v>
      </c>
      <c r="K20" s="39"/>
      <c r="L20" s="39">
        <v>3</v>
      </c>
      <c r="M20" s="39"/>
      <c r="N20" s="39"/>
      <c r="O20" s="39"/>
      <c r="P20" s="39"/>
      <c r="Q20" s="39"/>
      <c r="R20" s="39"/>
      <c r="S20" s="39"/>
      <c r="T20" s="39"/>
    </row>
    <row r="21" spans="1:20" ht="16.5" x14ac:dyDescent="0.25">
      <c r="A21" s="97">
        <v>1.1399999999999999</v>
      </c>
      <c r="B21" s="98" t="s">
        <v>30</v>
      </c>
      <c r="C21" s="101" t="s">
        <v>234</v>
      </c>
      <c r="D21" s="101" t="s">
        <v>92</v>
      </c>
      <c r="E21" s="40" t="s">
        <v>18</v>
      </c>
      <c r="F21" s="39">
        <v>6</v>
      </c>
      <c r="G21" s="39">
        <v>6</v>
      </c>
      <c r="H21" s="92">
        <v>0</v>
      </c>
      <c r="I21" s="92">
        <v>4</v>
      </c>
      <c r="J21" s="92">
        <f t="shared" si="0"/>
        <v>-2</v>
      </c>
      <c r="K21" s="39"/>
      <c r="L21" s="39"/>
      <c r="M21" s="39"/>
      <c r="N21" s="39"/>
      <c r="O21" s="39">
        <v>6</v>
      </c>
      <c r="P21" s="39"/>
      <c r="Q21" s="39"/>
      <c r="R21" s="39"/>
      <c r="S21" s="39"/>
      <c r="T21" s="39"/>
    </row>
    <row r="22" spans="1:20" ht="16.5" x14ac:dyDescent="0.25">
      <c r="A22" s="97">
        <v>1.1499999999999999</v>
      </c>
      <c r="B22" s="98" t="s">
        <v>30</v>
      </c>
      <c r="C22" s="101" t="s">
        <v>235</v>
      </c>
      <c r="D22" s="101" t="s">
        <v>181</v>
      </c>
      <c r="E22" s="40" t="s">
        <v>18</v>
      </c>
      <c r="F22" s="39">
        <v>6</v>
      </c>
      <c r="G22" s="39">
        <v>6</v>
      </c>
      <c r="H22" s="92">
        <v>0</v>
      </c>
      <c r="I22" s="92">
        <v>6</v>
      </c>
      <c r="J22" s="92">
        <f t="shared" si="0"/>
        <v>0</v>
      </c>
      <c r="K22" s="39"/>
      <c r="L22" s="39"/>
      <c r="M22" s="39">
        <v>6</v>
      </c>
      <c r="N22" s="39"/>
      <c r="O22" s="39"/>
      <c r="P22" s="39"/>
      <c r="Q22" s="39"/>
      <c r="R22" s="39"/>
      <c r="S22" s="39"/>
      <c r="T22" s="39"/>
    </row>
    <row r="23" spans="1:20" ht="16.5" x14ac:dyDescent="0.25">
      <c r="A23" s="97">
        <v>1.1599999999999999</v>
      </c>
      <c r="B23" s="98" t="s">
        <v>30</v>
      </c>
      <c r="C23" s="101" t="s">
        <v>97</v>
      </c>
      <c r="D23" s="101" t="s">
        <v>181</v>
      </c>
      <c r="E23" s="40" t="s">
        <v>18</v>
      </c>
      <c r="F23" s="39">
        <v>6</v>
      </c>
      <c r="G23" s="39">
        <v>6</v>
      </c>
      <c r="H23" s="92">
        <v>0</v>
      </c>
      <c r="I23" s="92">
        <v>8</v>
      </c>
      <c r="J23" s="92">
        <f t="shared" si="0"/>
        <v>2</v>
      </c>
      <c r="K23" s="39"/>
      <c r="L23" s="39"/>
      <c r="M23" s="39">
        <v>6</v>
      </c>
      <c r="N23" s="39"/>
      <c r="O23" s="39"/>
      <c r="P23" s="39"/>
      <c r="Q23" s="39"/>
      <c r="R23" s="39"/>
      <c r="S23" s="39"/>
      <c r="T23" s="39"/>
    </row>
    <row r="24" spans="1:20" ht="16.5" x14ac:dyDescent="0.25">
      <c r="A24" s="97">
        <v>1.17</v>
      </c>
      <c r="B24" s="98" t="s">
        <v>30</v>
      </c>
      <c r="C24" s="101" t="s">
        <v>88</v>
      </c>
      <c r="D24" s="112" t="s">
        <v>89</v>
      </c>
      <c r="E24" s="40" t="s">
        <v>90</v>
      </c>
      <c r="F24" s="39">
        <v>4</v>
      </c>
      <c r="G24" s="39"/>
      <c r="H24" s="92">
        <v>4</v>
      </c>
      <c r="I24" s="92"/>
      <c r="J24" s="92">
        <f t="shared" si="0"/>
        <v>-4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1:20" ht="16.5" x14ac:dyDescent="0.25">
      <c r="A25" s="97">
        <v>1.18</v>
      </c>
      <c r="B25" s="98" t="s">
        <v>30</v>
      </c>
      <c r="C25" s="101" t="s">
        <v>91</v>
      </c>
      <c r="D25" s="112" t="s">
        <v>89</v>
      </c>
      <c r="E25" s="40" t="s">
        <v>90</v>
      </c>
      <c r="F25" s="39">
        <v>5</v>
      </c>
      <c r="G25" s="39"/>
      <c r="H25" s="92">
        <v>5</v>
      </c>
      <c r="I25" s="92"/>
      <c r="J25" s="92">
        <f t="shared" si="0"/>
        <v>-5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</row>
    <row r="26" spans="1:20" ht="16.5" x14ac:dyDescent="0.25">
      <c r="A26" s="103">
        <v>1.19</v>
      </c>
      <c r="B26" s="104" t="s">
        <v>44</v>
      </c>
      <c r="C26" s="126" t="s">
        <v>86</v>
      </c>
      <c r="D26" s="105" t="s">
        <v>92</v>
      </c>
      <c r="E26" s="40" t="s">
        <v>18</v>
      </c>
      <c r="F26" s="39">
        <v>3</v>
      </c>
      <c r="G26" s="39">
        <v>3</v>
      </c>
      <c r="H26" s="92">
        <v>0</v>
      </c>
      <c r="I26" s="92">
        <v>4</v>
      </c>
      <c r="J26" s="92">
        <f t="shared" si="0"/>
        <v>1</v>
      </c>
      <c r="K26" s="39"/>
      <c r="L26" s="39">
        <v>3</v>
      </c>
      <c r="M26" s="39"/>
      <c r="N26" s="39"/>
      <c r="O26" s="39"/>
      <c r="P26" s="39"/>
      <c r="Q26" s="39"/>
      <c r="R26" s="39"/>
      <c r="S26" s="39"/>
      <c r="T26" s="39"/>
    </row>
    <row r="27" spans="1:20" ht="16.5" x14ac:dyDescent="0.25">
      <c r="A27" s="127">
        <v>1.2</v>
      </c>
      <c r="B27" s="104" t="s">
        <v>44</v>
      </c>
      <c r="C27" s="105" t="s">
        <v>234</v>
      </c>
      <c r="D27" s="105" t="s">
        <v>182</v>
      </c>
      <c r="E27" s="40" t="s">
        <v>18</v>
      </c>
      <c r="F27" s="39">
        <v>5</v>
      </c>
      <c r="G27" s="39">
        <v>5</v>
      </c>
      <c r="H27" s="92">
        <v>0</v>
      </c>
      <c r="I27" s="92">
        <v>4</v>
      </c>
      <c r="J27" s="92">
        <f t="shared" si="0"/>
        <v>-1</v>
      </c>
      <c r="K27" s="39"/>
      <c r="L27" s="39"/>
      <c r="M27" s="39">
        <v>5</v>
      </c>
      <c r="N27" s="39"/>
      <c r="O27" s="39"/>
      <c r="P27" s="39"/>
      <c r="Q27" s="39"/>
      <c r="R27" s="39"/>
      <c r="S27" s="39"/>
      <c r="T27" s="39"/>
    </row>
    <row r="28" spans="1:20" ht="16.5" x14ac:dyDescent="0.25">
      <c r="A28" s="103">
        <v>1.21</v>
      </c>
      <c r="B28" s="104" t="s">
        <v>44</v>
      </c>
      <c r="C28" s="105" t="s">
        <v>235</v>
      </c>
      <c r="D28" s="105" t="s">
        <v>182</v>
      </c>
      <c r="E28" s="40" t="s">
        <v>18</v>
      </c>
      <c r="F28" s="39">
        <v>8</v>
      </c>
      <c r="G28" s="39">
        <v>8</v>
      </c>
      <c r="H28" s="92">
        <v>0</v>
      </c>
      <c r="I28" s="92">
        <v>8</v>
      </c>
      <c r="J28" s="92">
        <f t="shared" si="0"/>
        <v>0</v>
      </c>
      <c r="K28" s="39"/>
      <c r="L28" s="39"/>
      <c r="M28" s="39"/>
      <c r="N28" s="39"/>
      <c r="O28" s="39">
        <v>8</v>
      </c>
      <c r="P28" s="39"/>
      <c r="Q28" s="39"/>
      <c r="R28" s="39"/>
      <c r="S28" s="39"/>
      <c r="T28" s="39"/>
    </row>
    <row r="29" spans="1:20" ht="16.5" x14ac:dyDescent="0.25">
      <c r="A29" s="103">
        <v>1.22</v>
      </c>
      <c r="B29" s="104" t="s">
        <v>44</v>
      </c>
      <c r="C29" s="105" t="s">
        <v>183</v>
      </c>
      <c r="D29" s="105" t="s">
        <v>182</v>
      </c>
      <c r="E29" s="40" t="s">
        <v>18</v>
      </c>
      <c r="F29" s="39">
        <v>8</v>
      </c>
      <c r="G29" s="39">
        <v>8</v>
      </c>
      <c r="H29" s="92">
        <v>0</v>
      </c>
      <c r="I29" s="92">
        <v>7</v>
      </c>
      <c r="J29" s="92">
        <f t="shared" si="0"/>
        <v>-1</v>
      </c>
      <c r="K29" s="39"/>
      <c r="L29" s="39"/>
      <c r="M29" s="39"/>
      <c r="N29" s="39"/>
      <c r="O29" s="39">
        <v>8</v>
      </c>
      <c r="P29" s="39"/>
      <c r="Q29" s="39"/>
      <c r="R29" s="39"/>
      <c r="S29" s="39"/>
      <c r="T29" s="39"/>
    </row>
    <row r="30" spans="1:20" ht="16.5" x14ac:dyDescent="0.25">
      <c r="A30" s="103">
        <v>1.23</v>
      </c>
      <c r="B30" s="104" t="s">
        <v>44</v>
      </c>
      <c r="C30" s="105" t="s">
        <v>88</v>
      </c>
      <c r="D30" s="105" t="s">
        <v>89</v>
      </c>
      <c r="E30" s="40" t="s">
        <v>90</v>
      </c>
      <c r="F30" s="39">
        <v>3</v>
      </c>
      <c r="G30" s="39"/>
      <c r="H30" s="92">
        <v>3</v>
      </c>
      <c r="I30" s="92"/>
      <c r="J30" s="92">
        <f t="shared" si="0"/>
        <v>-3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</row>
    <row r="31" spans="1:20" ht="16.5" x14ac:dyDescent="0.25">
      <c r="A31" s="103">
        <v>1.24</v>
      </c>
      <c r="B31" s="104" t="s">
        <v>44</v>
      </c>
      <c r="C31" s="105" t="s">
        <v>91</v>
      </c>
      <c r="D31" s="105" t="s">
        <v>89</v>
      </c>
      <c r="E31" s="40" t="s">
        <v>90</v>
      </c>
      <c r="F31" s="39">
        <v>3</v>
      </c>
      <c r="G31" s="39"/>
      <c r="H31" s="92">
        <v>3</v>
      </c>
      <c r="I31" s="92"/>
      <c r="J31" s="92">
        <f t="shared" si="0"/>
        <v>-3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</row>
    <row r="32" spans="1:20" ht="16.5" x14ac:dyDescent="0.25">
      <c r="A32" s="128">
        <v>1.25</v>
      </c>
      <c r="B32" s="102" t="s">
        <v>52</v>
      </c>
      <c r="C32" s="129" t="s">
        <v>215</v>
      </c>
      <c r="D32" s="112" t="s">
        <v>92</v>
      </c>
      <c r="E32" s="40" t="s">
        <v>18</v>
      </c>
      <c r="F32" s="39">
        <v>6</v>
      </c>
      <c r="G32" s="39">
        <v>6</v>
      </c>
      <c r="H32" s="92">
        <v>0</v>
      </c>
      <c r="I32" s="92">
        <v>5</v>
      </c>
      <c r="J32" s="92">
        <f t="shared" si="0"/>
        <v>-1</v>
      </c>
      <c r="K32" s="39"/>
      <c r="L32" s="39"/>
      <c r="M32" s="39"/>
      <c r="N32" s="39"/>
      <c r="O32" s="39"/>
      <c r="P32" s="39">
        <v>6</v>
      </c>
      <c r="Q32" s="39"/>
      <c r="R32" s="39"/>
      <c r="S32" s="39"/>
      <c r="T32" s="39"/>
    </row>
    <row r="33" spans="1:20" ht="16.5" x14ac:dyDescent="0.25">
      <c r="A33" s="128">
        <v>1.26</v>
      </c>
      <c r="B33" s="102" t="s">
        <v>52</v>
      </c>
      <c r="C33" s="112" t="s">
        <v>216</v>
      </c>
      <c r="D33" s="112" t="s">
        <v>182</v>
      </c>
      <c r="E33" s="40" t="s">
        <v>18</v>
      </c>
      <c r="F33" s="39">
        <v>6</v>
      </c>
      <c r="G33" s="39">
        <v>6</v>
      </c>
      <c r="H33" s="92">
        <v>0</v>
      </c>
      <c r="I33" s="92">
        <v>4</v>
      </c>
      <c r="J33" s="92">
        <f t="shared" si="0"/>
        <v>-2</v>
      </c>
      <c r="K33" s="39"/>
      <c r="L33" s="39"/>
      <c r="M33" s="39"/>
      <c r="N33" s="39"/>
      <c r="O33" s="39"/>
      <c r="P33" s="39">
        <v>6</v>
      </c>
      <c r="Q33" s="39"/>
      <c r="R33" s="39"/>
      <c r="S33" s="39"/>
      <c r="T33" s="39"/>
    </row>
    <row r="34" spans="1:20" ht="16.5" x14ac:dyDescent="0.25">
      <c r="A34" s="128">
        <v>1.27</v>
      </c>
      <c r="B34" s="102" t="s">
        <v>52</v>
      </c>
      <c r="C34" s="112" t="s">
        <v>217</v>
      </c>
      <c r="D34" s="112" t="s">
        <v>182</v>
      </c>
      <c r="E34" s="40" t="s">
        <v>18</v>
      </c>
      <c r="F34" s="39">
        <v>10</v>
      </c>
      <c r="G34" s="39">
        <v>10</v>
      </c>
      <c r="H34" s="92">
        <v>0</v>
      </c>
      <c r="I34" s="92">
        <v>8</v>
      </c>
      <c r="J34" s="92">
        <f t="shared" si="0"/>
        <v>-2</v>
      </c>
      <c r="K34" s="39"/>
      <c r="L34" s="39"/>
      <c r="M34" s="39"/>
      <c r="N34" s="39"/>
      <c r="O34" s="39"/>
      <c r="P34" s="39"/>
      <c r="Q34" s="39"/>
      <c r="R34" s="39">
        <v>10</v>
      </c>
      <c r="S34" s="39"/>
      <c r="T34" s="39"/>
    </row>
    <row r="35" spans="1:20" ht="16.5" x14ac:dyDescent="0.25">
      <c r="A35" s="128">
        <v>1.28</v>
      </c>
      <c r="B35" s="102" t="s">
        <v>52</v>
      </c>
      <c r="C35" s="112" t="s">
        <v>218</v>
      </c>
      <c r="D35" s="112" t="s">
        <v>92</v>
      </c>
      <c r="E35" s="40" t="s">
        <v>18</v>
      </c>
      <c r="F35" s="39">
        <v>12</v>
      </c>
      <c r="G35" s="39">
        <v>12</v>
      </c>
      <c r="H35" s="92">
        <v>0</v>
      </c>
      <c r="I35" s="92">
        <v>7</v>
      </c>
      <c r="J35" s="92">
        <f t="shared" si="0"/>
        <v>-5</v>
      </c>
      <c r="K35" s="39"/>
      <c r="L35" s="39"/>
      <c r="M35" s="39"/>
      <c r="N35" s="39"/>
      <c r="O35" s="39"/>
      <c r="P35" s="39"/>
      <c r="Q35" s="39"/>
      <c r="R35" s="39"/>
      <c r="S35" s="39"/>
      <c r="T35" s="39">
        <v>12</v>
      </c>
    </row>
    <row r="36" spans="1:20" ht="16.5" x14ac:dyDescent="0.25">
      <c r="A36" s="128">
        <v>1.29</v>
      </c>
      <c r="B36" s="102" t="s">
        <v>52</v>
      </c>
      <c r="C36" s="112" t="s">
        <v>88</v>
      </c>
      <c r="D36" s="112" t="s">
        <v>89</v>
      </c>
      <c r="E36" s="40" t="s">
        <v>90</v>
      </c>
      <c r="F36" s="39">
        <v>6</v>
      </c>
      <c r="G36" s="39"/>
      <c r="H36" s="92">
        <v>6</v>
      </c>
      <c r="I36" s="92"/>
      <c r="J36" s="92">
        <f t="shared" si="0"/>
        <v>-6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</row>
    <row r="37" spans="1:20" ht="16.5" x14ac:dyDescent="0.25">
      <c r="A37" s="130">
        <v>1.3</v>
      </c>
      <c r="B37" s="102" t="s">
        <v>52</v>
      </c>
      <c r="C37" s="112" t="s">
        <v>91</v>
      </c>
      <c r="D37" s="112" t="s">
        <v>89</v>
      </c>
      <c r="E37" s="40" t="s">
        <v>90</v>
      </c>
      <c r="F37" s="39">
        <v>5</v>
      </c>
      <c r="G37" s="39"/>
      <c r="H37" s="92">
        <v>5</v>
      </c>
      <c r="I37" s="92"/>
      <c r="J37" s="92">
        <f t="shared" si="0"/>
        <v>-5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</row>
    <row r="38" spans="1:20" ht="16.5" x14ac:dyDescent="0.25">
      <c r="A38" s="103">
        <v>1.31</v>
      </c>
      <c r="B38" s="104" t="s">
        <v>53</v>
      </c>
      <c r="C38" s="126" t="s">
        <v>219</v>
      </c>
      <c r="D38" s="105" t="s">
        <v>182</v>
      </c>
      <c r="E38" s="40" t="s">
        <v>18</v>
      </c>
      <c r="F38" s="39">
        <v>6</v>
      </c>
      <c r="G38" s="39">
        <v>6</v>
      </c>
      <c r="H38" s="92">
        <v>0</v>
      </c>
      <c r="I38" s="92">
        <v>5</v>
      </c>
      <c r="J38" s="92">
        <f t="shared" si="0"/>
        <v>-1</v>
      </c>
      <c r="K38" s="39"/>
      <c r="L38" s="39"/>
      <c r="M38" s="39"/>
      <c r="N38" s="39"/>
      <c r="O38" s="39"/>
      <c r="P38" s="39"/>
      <c r="Q38" s="39"/>
      <c r="R38" s="39"/>
      <c r="S38" s="39">
        <v>6</v>
      </c>
      <c r="T38" s="39"/>
    </row>
    <row r="39" spans="1:20" ht="16.5" x14ac:dyDescent="0.25">
      <c r="A39" s="103">
        <v>1.32</v>
      </c>
      <c r="B39" s="104" t="s">
        <v>53</v>
      </c>
      <c r="C39" s="105" t="s">
        <v>220</v>
      </c>
      <c r="D39" s="105" t="s">
        <v>92</v>
      </c>
      <c r="E39" s="40" t="s">
        <v>18</v>
      </c>
      <c r="F39" s="39">
        <v>6</v>
      </c>
      <c r="G39" s="39">
        <v>6</v>
      </c>
      <c r="H39" s="92">
        <v>0</v>
      </c>
      <c r="I39" s="92">
        <v>6</v>
      </c>
      <c r="J39" s="92">
        <f t="shared" si="0"/>
        <v>0</v>
      </c>
      <c r="K39" s="39"/>
      <c r="L39" s="39"/>
      <c r="M39" s="39"/>
      <c r="N39" s="39"/>
      <c r="O39" s="39"/>
      <c r="P39" s="39"/>
      <c r="Q39" s="39"/>
      <c r="R39" s="39"/>
      <c r="S39" s="39">
        <v>6</v>
      </c>
      <c r="T39" s="39"/>
    </row>
    <row r="40" spans="1:20" ht="16.5" x14ac:dyDescent="0.25">
      <c r="A40" s="103">
        <v>1.33</v>
      </c>
      <c r="B40" s="104" t="s">
        <v>53</v>
      </c>
      <c r="C40" s="105" t="s">
        <v>221</v>
      </c>
      <c r="D40" s="105" t="s">
        <v>182</v>
      </c>
      <c r="E40" s="40" t="s">
        <v>18</v>
      </c>
      <c r="F40" s="39">
        <v>12</v>
      </c>
      <c r="G40" s="39">
        <v>12</v>
      </c>
      <c r="H40" s="92">
        <v>0</v>
      </c>
      <c r="I40" s="92">
        <v>12</v>
      </c>
      <c r="J40" s="92">
        <f t="shared" si="0"/>
        <v>0</v>
      </c>
      <c r="K40" s="39"/>
      <c r="L40" s="39"/>
      <c r="M40" s="39"/>
      <c r="N40" s="39"/>
      <c r="O40" s="39"/>
      <c r="P40" s="39"/>
      <c r="Q40" s="39"/>
      <c r="R40" s="39"/>
      <c r="S40" s="39"/>
      <c r="T40" s="39">
        <v>12</v>
      </c>
    </row>
    <row r="41" spans="1:20" ht="16.5" x14ac:dyDescent="0.25">
      <c r="A41" s="103">
        <v>1.34</v>
      </c>
      <c r="B41" s="104" t="s">
        <v>53</v>
      </c>
      <c r="C41" s="105" t="s">
        <v>222</v>
      </c>
      <c r="D41" s="105" t="s">
        <v>89</v>
      </c>
      <c r="E41" s="40" t="s">
        <v>18</v>
      </c>
      <c r="F41" s="39">
        <v>8</v>
      </c>
      <c r="G41" s="39">
        <v>8</v>
      </c>
      <c r="H41" s="92">
        <v>0</v>
      </c>
      <c r="I41" s="92">
        <v>7</v>
      </c>
      <c r="J41" s="92">
        <f t="shared" si="0"/>
        <v>-1</v>
      </c>
      <c r="K41" s="39"/>
      <c r="L41" s="39"/>
      <c r="M41" s="39"/>
      <c r="N41" s="39"/>
      <c r="O41" s="39"/>
      <c r="P41" s="39"/>
      <c r="Q41" s="39"/>
      <c r="R41" s="39"/>
      <c r="S41" s="39"/>
      <c r="T41" s="39">
        <v>8</v>
      </c>
    </row>
    <row r="42" spans="1:20" ht="16.5" x14ac:dyDescent="0.25">
      <c r="A42" s="103">
        <v>1.35</v>
      </c>
      <c r="B42" s="104" t="s">
        <v>53</v>
      </c>
      <c r="C42" s="105" t="s">
        <v>88</v>
      </c>
      <c r="D42" s="105" t="s">
        <v>89</v>
      </c>
      <c r="E42" s="40" t="s">
        <v>90</v>
      </c>
      <c r="F42" s="39">
        <v>4</v>
      </c>
      <c r="G42" s="39"/>
      <c r="H42" s="92">
        <v>4</v>
      </c>
      <c r="I42" s="92"/>
      <c r="J42" s="92">
        <f t="shared" si="0"/>
        <v>-4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</row>
    <row r="43" spans="1:20" ht="16.5" x14ac:dyDescent="0.25">
      <c r="A43" s="103">
        <v>1.36</v>
      </c>
      <c r="B43" s="104" t="s">
        <v>53</v>
      </c>
      <c r="C43" s="105" t="s">
        <v>91</v>
      </c>
      <c r="D43" s="105" t="s">
        <v>89</v>
      </c>
      <c r="E43" s="40" t="s">
        <v>90</v>
      </c>
      <c r="F43" s="39">
        <v>4</v>
      </c>
      <c r="G43" s="39"/>
      <c r="H43" s="92">
        <v>4</v>
      </c>
      <c r="I43" s="92"/>
      <c r="J43" s="92">
        <f>SUM(I43-F43)</f>
        <v>-4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</row>
    <row r="44" spans="1:20" x14ac:dyDescent="0.2">
      <c r="A44" s="131"/>
      <c r="B44" s="132"/>
      <c r="C44" s="133"/>
      <c r="D44" s="133"/>
      <c r="E44" s="133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</row>
    <row r="45" spans="1:20" ht="16.5" x14ac:dyDescent="0.25">
      <c r="A45" s="86"/>
      <c r="B45" s="78"/>
      <c r="C45" s="79"/>
      <c r="D45" s="79"/>
      <c r="E45" s="93" t="s">
        <v>93</v>
      </c>
      <c r="F45" s="94">
        <f>SUM(F8:F43)</f>
        <v>220</v>
      </c>
      <c r="G45" s="94">
        <f>SUM(G8:G43)</f>
        <v>168</v>
      </c>
      <c r="H45" s="94">
        <f>SUM(H8:H43)</f>
        <v>52</v>
      </c>
      <c r="I45" s="94">
        <f>SUM(I8:I43)</f>
        <v>153</v>
      </c>
      <c r="J45" s="94">
        <f>SUM(J8:J43)</f>
        <v>-67</v>
      </c>
      <c r="K45" s="94">
        <f t="shared" ref="K45:T45" si="1">SUBTOTAL(9,K7:K43)</f>
        <v>12</v>
      </c>
      <c r="L45" s="94">
        <f t="shared" si="1"/>
        <v>14</v>
      </c>
      <c r="M45" s="94">
        <f t="shared" si="1"/>
        <v>24</v>
      </c>
      <c r="N45" s="94">
        <f t="shared" si="1"/>
        <v>22</v>
      </c>
      <c r="O45" s="94">
        <f t="shared" si="1"/>
        <v>30</v>
      </c>
      <c r="P45" s="94">
        <f t="shared" si="1"/>
        <v>12</v>
      </c>
      <c r="Q45" s="94">
        <f t="shared" si="1"/>
        <v>0</v>
      </c>
      <c r="R45" s="94">
        <f t="shared" si="1"/>
        <v>10</v>
      </c>
      <c r="S45" s="94">
        <f t="shared" si="1"/>
        <v>12</v>
      </c>
      <c r="T45" s="94">
        <f t="shared" si="1"/>
        <v>32</v>
      </c>
    </row>
    <row r="46" spans="1:20" ht="16.5" x14ac:dyDescent="0.25">
      <c r="A46" s="86"/>
      <c r="B46" s="78"/>
      <c r="C46" s="79"/>
      <c r="D46" s="79"/>
      <c r="E46" s="93" t="s">
        <v>94</v>
      </c>
      <c r="F46" s="94"/>
      <c r="G46" s="94"/>
      <c r="H46" s="94"/>
      <c r="I46" s="94"/>
      <c r="J46" s="94"/>
      <c r="K46" s="94">
        <f>F45-K45</f>
        <v>208</v>
      </c>
      <c r="L46" s="94">
        <f>K46-L45</f>
        <v>194</v>
      </c>
      <c r="M46" s="94">
        <f>L46-M45</f>
        <v>170</v>
      </c>
      <c r="N46" s="94">
        <f t="shared" ref="N46:T46" si="2">M46-N45</f>
        <v>148</v>
      </c>
      <c r="O46" s="94">
        <f t="shared" si="2"/>
        <v>118</v>
      </c>
      <c r="P46" s="94">
        <f t="shared" si="2"/>
        <v>106</v>
      </c>
      <c r="Q46" s="94">
        <f t="shared" si="2"/>
        <v>106</v>
      </c>
      <c r="R46" s="94">
        <f t="shared" si="2"/>
        <v>96</v>
      </c>
      <c r="S46" s="94">
        <f t="shared" si="2"/>
        <v>84</v>
      </c>
      <c r="T46" s="94">
        <f t="shared" si="2"/>
        <v>52</v>
      </c>
    </row>
    <row r="47" spans="1:20" ht="16.5" x14ac:dyDescent="0.25">
      <c r="A47" s="86"/>
      <c r="B47" s="78"/>
      <c r="C47" s="79"/>
      <c r="D47" s="79"/>
      <c r="E47" s="93" t="s">
        <v>95</v>
      </c>
      <c r="F47" s="94"/>
      <c r="G47" s="94"/>
      <c r="H47" s="94"/>
      <c r="I47" s="94"/>
      <c r="J47" s="94"/>
      <c r="K47" s="94">
        <f>K45</f>
        <v>12</v>
      </c>
      <c r="L47" s="94">
        <f>K47+L45</f>
        <v>26</v>
      </c>
      <c r="M47" s="94">
        <f>L47+M45</f>
        <v>50</v>
      </c>
      <c r="N47" s="94">
        <f t="shared" ref="N47:T47" si="3">M47+N45</f>
        <v>72</v>
      </c>
      <c r="O47" s="94">
        <f t="shared" si="3"/>
        <v>102</v>
      </c>
      <c r="P47" s="94">
        <f t="shared" si="3"/>
        <v>114</v>
      </c>
      <c r="Q47" s="94">
        <f t="shared" si="3"/>
        <v>114</v>
      </c>
      <c r="R47" s="94">
        <f t="shared" si="3"/>
        <v>124</v>
      </c>
      <c r="S47" s="94">
        <f t="shared" si="3"/>
        <v>136</v>
      </c>
      <c r="T47" s="94">
        <f t="shared" si="3"/>
        <v>168</v>
      </c>
    </row>
    <row r="48" spans="1:20" x14ac:dyDescent="0.2">
      <c r="S48" s="77"/>
      <c r="T48" s="77"/>
    </row>
    <row r="49" spans="19:20" x14ac:dyDescent="0.2">
      <c r="S49" s="77"/>
      <c r="T49" s="77"/>
    </row>
    <row r="50" spans="19:20" x14ac:dyDescent="0.2">
      <c r="S50" s="77"/>
      <c r="T50" s="77"/>
    </row>
    <row r="51" spans="19:20" x14ac:dyDescent="0.2">
      <c r="S51" s="77"/>
      <c r="T51" s="77"/>
    </row>
    <row r="78" spans="1:2" x14ac:dyDescent="0.2">
      <c r="A78" s="76"/>
      <c r="B78" s="77"/>
    </row>
    <row r="79" spans="1:2" x14ac:dyDescent="0.2">
      <c r="A79" s="76"/>
      <c r="B79" s="77"/>
    </row>
    <row r="80" spans="1:2" x14ac:dyDescent="0.2">
      <c r="A80" s="76"/>
      <c r="B80" s="77"/>
    </row>
    <row r="81" spans="1:2" x14ac:dyDescent="0.2">
      <c r="A81" s="76"/>
      <c r="B81" s="77"/>
    </row>
    <row r="82" spans="1:2" x14ac:dyDescent="0.2">
      <c r="A82" s="76"/>
      <c r="B82" s="77"/>
    </row>
    <row r="83" spans="1:2" x14ac:dyDescent="0.2">
      <c r="A83" s="76"/>
      <c r="B83" s="77"/>
    </row>
    <row r="84" spans="1:2" x14ac:dyDescent="0.2">
      <c r="A84" s="76"/>
      <c r="B84" s="77"/>
    </row>
    <row r="85" spans="1:2" x14ac:dyDescent="0.2">
      <c r="A85" s="76"/>
      <c r="B85" s="77"/>
    </row>
    <row r="86" spans="1:2" x14ac:dyDescent="0.2">
      <c r="A86" s="76"/>
      <c r="B86" s="77"/>
    </row>
    <row r="87" spans="1:2" x14ac:dyDescent="0.2">
      <c r="A87" s="76"/>
      <c r="B87" s="77"/>
    </row>
    <row r="88" spans="1:2" x14ac:dyDescent="0.2">
      <c r="A88" s="76"/>
      <c r="B88" s="77"/>
    </row>
    <row r="89" spans="1:2" x14ac:dyDescent="0.2">
      <c r="A89" s="76"/>
      <c r="B89" s="77"/>
    </row>
    <row r="90" spans="1:2" x14ac:dyDescent="0.2">
      <c r="A90" s="76"/>
      <c r="B90" s="77"/>
    </row>
    <row r="91" spans="1:2" x14ac:dyDescent="0.2">
      <c r="A91" s="76"/>
      <c r="B91" s="77"/>
    </row>
    <row r="92" spans="1:2" x14ac:dyDescent="0.2">
      <c r="A92" s="76"/>
      <c r="B92" s="77"/>
    </row>
    <row r="93" spans="1:2" x14ac:dyDescent="0.2">
      <c r="A93" s="76"/>
      <c r="B93" s="77"/>
    </row>
    <row r="94" spans="1:2" x14ac:dyDescent="0.2">
      <c r="A94" s="76"/>
      <c r="B94" s="77"/>
    </row>
    <row r="95" spans="1:2" x14ac:dyDescent="0.2">
      <c r="A95" s="76"/>
      <c r="B95" s="77"/>
    </row>
    <row r="96" spans="1:2" x14ac:dyDescent="0.2">
      <c r="A96" s="76"/>
      <c r="B96" s="77"/>
    </row>
    <row r="97" spans="1:2" x14ac:dyDescent="0.2">
      <c r="A97" s="76"/>
      <c r="B97" s="77"/>
    </row>
    <row r="98" spans="1:2" x14ac:dyDescent="0.2">
      <c r="A98" s="76"/>
      <c r="B98" s="77"/>
    </row>
    <row r="99" spans="1:2" x14ac:dyDescent="0.2">
      <c r="A99" s="76"/>
      <c r="B99" s="77"/>
    </row>
    <row r="100" spans="1:2" x14ac:dyDescent="0.2">
      <c r="A100" s="76"/>
      <c r="B100" s="77"/>
    </row>
    <row r="101" spans="1:2" x14ac:dyDescent="0.2">
      <c r="A101" s="76"/>
      <c r="B101" s="77"/>
    </row>
    <row r="102" spans="1:2" x14ac:dyDescent="0.2">
      <c r="A102" s="76"/>
      <c r="B102" s="77"/>
    </row>
    <row r="103" spans="1:2" x14ac:dyDescent="0.2">
      <c r="A103" s="76"/>
      <c r="B103" s="77"/>
    </row>
    <row r="104" spans="1:2" x14ac:dyDescent="0.2">
      <c r="A104" s="76"/>
      <c r="B104" s="77"/>
    </row>
    <row r="105" spans="1:2" x14ac:dyDescent="0.2">
      <c r="A105" s="76"/>
      <c r="B105" s="77"/>
    </row>
    <row r="106" spans="1:2" x14ac:dyDescent="0.2">
      <c r="A106" s="76"/>
      <c r="B106" s="77"/>
    </row>
    <row r="107" spans="1:2" x14ac:dyDescent="0.2">
      <c r="A107" s="76"/>
      <c r="B107" s="77"/>
    </row>
    <row r="108" spans="1:2" x14ac:dyDescent="0.2">
      <c r="A108" s="76"/>
      <c r="B108" s="77"/>
    </row>
    <row r="109" spans="1:2" x14ac:dyDescent="0.2">
      <c r="A109" s="76"/>
      <c r="B109" s="77"/>
    </row>
    <row r="110" spans="1:2" x14ac:dyDescent="0.2">
      <c r="A110" s="76"/>
      <c r="B110" s="77"/>
    </row>
    <row r="111" spans="1:2" x14ac:dyDescent="0.2">
      <c r="A111" s="76"/>
      <c r="B111" s="77"/>
    </row>
    <row r="112" spans="1:2" x14ac:dyDescent="0.2">
      <c r="A112" s="76"/>
      <c r="B112" s="77"/>
    </row>
    <row r="113" spans="1:2" x14ac:dyDescent="0.2">
      <c r="A113" s="76"/>
      <c r="B113" s="77"/>
    </row>
    <row r="114" spans="1:2" x14ac:dyDescent="0.2">
      <c r="A114" s="76"/>
      <c r="B114" s="77"/>
    </row>
    <row r="115" spans="1:2" x14ac:dyDescent="0.2">
      <c r="A115" s="76"/>
      <c r="B115" s="77"/>
    </row>
    <row r="116" spans="1:2" x14ac:dyDescent="0.2">
      <c r="A116" s="76"/>
      <c r="B116" s="77"/>
    </row>
    <row r="117" spans="1:2" x14ac:dyDescent="0.2">
      <c r="A117" s="76"/>
      <c r="B117" s="77"/>
    </row>
    <row r="118" spans="1:2" x14ac:dyDescent="0.2">
      <c r="A118" s="76"/>
      <c r="B118" s="77"/>
    </row>
    <row r="119" spans="1:2" x14ac:dyDescent="0.2">
      <c r="A119" s="76"/>
      <c r="B119" s="77"/>
    </row>
    <row r="120" spans="1:2" x14ac:dyDescent="0.2">
      <c r="A120" s="76"/>
      <c r="B120" s="77"/>
    </row>
    <row r="121" spans="1:2" x14ac:dyDescent="0.2">
      <c r="A121" s="76"/>
      <c r="B121" s="77"/>
    </row>
    <row r="122" spans="1:2" x14ac:dyDescent="0.2">
      <c r="A122" s="76"/>
      <c r="B122" s="77"/>
    </row>
    <row r="123" spans="1:2" x14ac:dyDescent="0.2">
      <c r="A123" s="76"/>
      <c r="B123" s="77"/>
    </row>
    <row r="124" spans="1:2" x14ac:dyDescent="0.2">
      <c r="A124" s="76"/>
      <c r="B124" s="77"/>
    </row>
    <row r="125" spans="1:2" x14ac:dyDescent="0.2">
      <c r="A125" s="76"/>
      <c r="B125" s="77"/>
    </row>
    <row r="126" spans="1:2" x14ac:dyDescent="0.2">
      <c r="A126" s="76"/>
      <c r="B126" s="77"/>
    </row>
    <row r="127" spans="1:2" x14ac:dyDescent="0.2">
      <c r="A127" s="76"/>
      <c r="B127" s="77"/>
    </row>
    <row r="128" spans="1:2" x14ac:dyDescent="0.2">
      <c r="A128" s="76"/>
      <c r="B128" s="77"/>
    </row>
    <row r="129" spans="1:2" x14ac:dyDescent="0.2">
      <c r="A129" s="76"/>
      <c r="B129" s="77"/>
    </row>
    <row r="130" spans="1:2" x14ac:dyDescent="0.2">
      <c r="A130" s="76"/>
      <c r="B130" s="77"/>
    </row>
    <row r="131" spans="1:2" x14ac:dyDescent="0.2">
      <c r="A131" s="76"/>
      <c r="B131" s="77"/>
    </row>
    <row r="132" spans="1:2" x14ac:dyDescent="0.2">
      <c r="A132" s="76"/>
      <c r="B132" s="77"/>
    </row>
    <row r="133" spans="1:2" x14ac:dyDescent="0.2">
      <c r="A133" s="76"/>
      <c r="B133" s="77"/>
    </row>
    <row r="134" spans="1:2" x14ac:dyDescent="0.2">
      <c r="A134" s="76"/>
      <c r="B134" s="77"/>
    </row>
    <row r="135" spans="1:2" x14ac:dyDescent="0.2">
      <c r="A135" s="76"/>
      <c r="B135" s="77"/>
    </row>
    <row r="136" spans="1:2" x14ac:dyDescent="0.2">
      <c r="A136" s="76"/>
      <c r="B136" s="77"/>
    </row>
    <row r="137" spans="1:2" x14ac:dyDescent="0.2">
      <c r="A137" s="76"/>
      <c r="B137" s="77"/>
    </row>
    <row r="138" spans="1:2" x14ac:dyDescent="0.2">
      <c r="A138" s="76"/>
      <c r="B138" s="77"/>
    </row>
    <row r="139" spans="1:2" x14ac:dyDescent="0.2">
      <c r="A139" s="76"/>
      <c r="B139" s="77"/>
    </row>
    <row r="140" spans="1:2" x14ac:dyDescent="0.2">
      <c r="A140" s="76"/>
      <c r="B140" s="77"/>
    </row>
    <row r="141" spans="1:2" x14ac:dyDescent="0.2">
      <c r="A141" s="76"/>
      <c r="B141" s="77"/>
    </row>
    <row r="142" spans="1:2" x14ac:dyDescent="0.2">
      <c r="A142" s="76"/>
      <c r="B142" s="77"/>
    </row>
    <row r="143" spans="1:2" x14ac:dyDescent="0.2">
      <c r="A143" s="76"/>
      <c r="B143" s="77"/>
    </row>
    <row r="144" spans="1:2" x14ac:dyDescent="0.2">
      <c r="A144" s="76"/>
      <c r="B144" s="77"/>
    </row>
    <row r="145" spans="1:2" x14ac:dyDescent="0.2">
      <c r="A145" s="76"/>
      <c r="B145" s="77"/>
    </row>
    <row r="146" spans="1:2" x14ac:dyDescent="0.2">
      <c r="A146" s="76"/>
      <c r="B146" s="77"/>
    </row>
    <row r="147" spans="1:2" x14ac:dyDescent="0.2">
      <c r="A147" s="76"/>
      <c r="B147" s="77"/>
    </row>
    <row r="148" spans="1:2" x14ac:dyDescent="0.2">
      <c r="A148" s="76"/>
      <c r="B148" s="77"/>
    </row>
    <row r="149" spans="1:2" x14ac:dyDescent="0.2">
      <c r="A149" s="76"/>
      <c r="B149" s="77"/>
    </row>
    <row r="150" spans="1:2" x14ac:dyDescent="0.2">
      <c r="A150" s="76"/>
      <c r="B150" s="77"/>
    </row>
    <row r="151" spans="1:2" x14ac:dyDescent="0.2">
      <c r="A151" s="76"/>
      <c r="B151" s="77"/>
    </row>
    <row r="152" spans="1:2" x14ac:dyDescent="0.2">
      <c r="A152" s="76"/>
      <c r="B152" s="77"/>
    </row>
    <row r="153" spans="1:2" x14ac:dyDescent="0.2">
      <c r="A153" s="76"/>
      <c r="B153" s="77"/>
    </row>
    <row r="154" spans="1:2" x14ac:dyDescent="0.2">
      <c r="A154" s="76"/>
      <c r="B154" s="77"/>
    </row>
    <row r="155" spans="1:2" x14ac:dyDescent="0.2">
      <c r="A155" s="76"/>
      <c r="B155" s="77"/>
    </row>
    <row r="156" spans="1:2" x14ac:dyDescent="0.2">
      <c r="A156" s="76"/>
      <c r="B156" s="77"/>
    </row>
    <row r="157" spans="1:2" x14ac:dyDescent="0.2">
      <c r="A157" s="76"/>
      <c r="B157" s="77"/>
    </row>
    <row r="158" spans="1:2" x14ac:dyDescent="0.2">
      <c r="A158" s="76"/>
      <c r="B158" s="77"/>
    </row>
    <row r="159" spans="1:2" x14ac:dyDescent="0.2">
      <c r="A159" s="76"/>
      <c r="B159" s="77"/>
    </row>
    <row r="160" spans="1:2" x14ac:dyDescent="0.2">
      <c r="A160" s="76"/>
      <c r="B160" s="77"/>
    </row>
    <row r="161" spans="1:2" x14ac:dyDescent="0.2">
      <c r="A161" s="76"/>
      <c r="B161" s="77"/>
    </row>
    <row r="162" spans="1:2" x14ac:dyDescent="0.2">
      <c r="A162" s="76"/>
      <c r="B162" s="77"/>
    </row>
    <row r="163" spans="1:2" x14ac:dyDescent="0.2">
      <c r="A163" s="76"/>
      <c r="B163" s="77"/>
    </row>
    <row r="164" spans="1:2" x14ac:dyDescent="0.2">
      <c r="A164" s="76"/>
      <c r="B164" s="77"/>
    </row>
    <row r="165" spans="1:2" x14ac:dyDescent="0.2">
      <c r="A165" s="76"/>
      <c r="B165" s="77"/>
    </row>
    <row r="166" spans="1:2" x14ac:dyDescent="0.2">
      <c r="A166" s="76"/>
      <c r="B166" s="77"/>
    </row>
    <row r="167" spans="1:2" x14ac:dyDescent="0.2">
      <c r="A167" s="76"/>
      <c r="B167" s="77"/>
    </row>
    <row r="168" spans="1:2" x14ac:dyDescent="0.2">
      <c r="A168" s="76"/>
      <c r="B168" s="77"/>
    </row>
    <row r="169" spans="1:2" x14ac:dyDescent="0.2">
      <c r="A169" s="76"/>
      <c r="B169" s="77"/>
    </row>
    <row r="170" spans="1:2" x14ac:dyDescent="0.2">
      <c r="A170" s="76"/>
      <c r="B170" s="77"/>
    </row>
    <row r="171" spans="1:2" x14ac:dyDescent="0.2">
      <c r="A171" s="76"/>
      <c r="B171" s="77"/>
    </row>
    <row r="172" spans="1:2" x14ac:dyDescent="0.2">
      <c r="A172" s="76"/>
      <c r="B172" s="77"/>
    </row>
    <row r="173" spans="1:2" x14ac:dyDescent="0.2">
      <c r="A173" s="76"/>
      <c r="B173" s="77"/>
    </row>
    <row r="174" spans="1:2" x14ac:dyDescent="0.2">
      <c r="A174" s="76"/>
      <c r="B174" s="77"/>
    </row>
    <row r="175" spans="1:2" x14ac:dyDescent="0.2">
      <c r="A175" s="76"/>
      <c r="B175" s="77"/>
    </row>
    <row r="176" spans="1:2" x14ac:dyDescent="0.2">
      <c r="A176" s="76"/>
      <c r="B176" s="77"/>
    </row>
    <row r="177" spans="1:2" x14ac:dyDescent="0.2">
      <c r="A177" s="76"/>
      <c r="B177" s="77"/>
    </row>
    <row r="178" spans="1:2" x14ac:dyDescent="0.2">
      <c r="A178" s="76"/>
      <c r="B178" s="77"/>
    </row>
    <row r="179" spans="1:2" x14ac:dyDescent="0.2">
      <c r="A179" s="76"/>
      <c r="B179" s="77"/>
    </row>
    <row r="180" spans="1:2" x14ac:dyDescent="0.2">
      <c r="A180" s="76"/>
      <c r="B180" s="77"/>
    </row>
    <row r="181" spans="1:2" x14ac:dyDescent="0.2">
      <c r="A181" s="76"/>
      <c r="B181" s="77"/>
    </row>
    <row r="182" spans="1:2" x14ac:dyDescent="0.2">
      <c r="A182" s="76"/>
      <c r="B182" s="77"/>
    </row>
    <row r="183" spans="1:2" x14ac:dyDescent="0.2">
      <c r="A183" s="76"/>
      <c r="B183" s="77"/>
    </row>
    <row r="184" spans="1:2" x14ac:dyDescent="0.2">
      <c r="A184" s="76"/>
      <c r="B184" s="77"/>
    </row>
    <row r="185" spans="1:2" x14ac:dyDescent="0.2">
      <c r="A185" s="76"/>
      <c r="B185" s="77"/>
    </row>
    <row r="186" spans="1:2" x14ac:dyDescent="0.2">
      <c r="A186" s="76"/>
      <c r="B186" s="77"/>
    </row>
    <row r="187" spans="1:2" x14ac:dyDescent="0.2">
      <c r="A187" s="76"/>
      <c r="B187" s="77"/>
    </row>
    <row r="188" spans="1:2" x14ac:dyDescent="0.2">
      <c r="A188" s="76"/>
      <c r="B188" s="77"/>
    </row>
    <row r="189" spans="1:2" x14ac:dyDescent="0.2">
      <c r="A189" s="76"/>
      <c r="B189" s="77"/>
    </row>
    <row r="190" spans="1:2" x14ac:dyDescent="0.2">
      <c r="A190" s="76"/>
      <c r="B190" s="77"/>
    </row>
    <row r="191" spans="1:2" x14ac:dyDescent="0.2">
      <c r="A191" s="76"/>
      <c r="B191" s="77"/>
    </row>
    <row r="192" spans="1:2" x14ac:dyDescent="0.2">
      <c r="A192" s="76"/>
      <c r="B192" s="77"/>
    </row>
    <row r="193" spans="1:2" x14ac:dyDescent="0.2">
      <c r="A193" s="76"/>
      <c r="B193" s="77"/>
    </row>
    <row r="194" spans="1:2" x14ac:dyDescent="0.2">
      <c r="A194" s="76"/>
      <c r="B194" s="77"/>
    </row>
    <row r="195" spans="1:2" x14ac:dyDescent="0.2">
      <c r="A195" s="76"/>
      <c r="B195" s="77"/>
    </row>
    <row r="196" spans="1:2" x14ac:dyDescent="0.2">
      <c r="A196" s="76"/>
      <c r="B196" s="77"/>
    </row>
    <row r="197" spans="1:2" x14ac:dyDescent="0.2">
      <c r="A197" s="76"/>
      <c r="B197" s="77"/>
    </row>
    <row r="198" spans="1:2" x14ac:dyDescent="0.2">
      <c r="A198" s="76"/>
      <c r="B198" s="77"/>
    </row>
    <row r="199" spans="1:2" x14ac:dyDescent="0.2">
      <c r="A199" s="76"/>
      <c r="B199" s="77"/>
    </row>
    <row r="200" spans="1:2" x14ac:dyDescent="0.2">
      <c r="A200" s="76"/>
      <c r="B200" s="77"/>
    </row>
    <row r="201" spans="1:2" x14ac:dyDescent="0.2">
      <c r="A201" s="76"/>
      <c r="B201" s="77"/>
    </row>
    <row r="202" spans="1:2" x14ac:dyDescent="0.2">
      <c r="A202" s="76"/>
      <c r="B202" s="77"/>
    </row>
    <row r="203" spans="1:2" x14ac:dyDescent="0.2">
      <c r="A203" s="76"/>
      <c r="B203" s="77"/>
    </row>
    <row r="204" spans="1:2" x14ac:dyDescent="0.2">
      <c r="A204" s="76"/>
      <c r="B204" s="77"/>
    </row>
    <row r="205" spans="1:2" x14ac:dyDescent="0.2">
      <c r="A205" s="76"/>
      <c r="B205" s="77"/>
    </row>
    <row r="206" spans="1:2" x14ac:dyDescent="0.2">
      <c r="A206" s="76"/>
      <c r="B206" s="77"/>
    </row>
    <row r="207" spans="1:2" x14ac:dyDescent="0.2">
      <c r="A207" s="76"/>
      <c r="B207" s="77"/>
    </row>
    <row r="208" spans="1:2" x14ac:dyDescent="0.2">
      <c r="A208" s="76"/>
      <c r="B208" s="77"/>
    </row>
    <row r="209" spans="1:2" x14ac:dyDescent="0.2">
      <c r="A209" s="76"/>
      <c r="B209" s="77"/>
    </row>
    <row r="210" spans="1:2" x14ac:dyDescent="0.2">
      <c r="A210" s="76"/>
      <c r="B210" s="77"/>
    </row>
    <row r="211" spans="1:2" x14ac:dyDescent="0.2">
      <c r="A211" s="76"/>
      <c r="B211" s="77"/>
    </row>
    <row r="212" spans="1:2" x14ac:dyDescent="0.2">
      <c r="A212" s="76"/>
      <c r="B212" s="77"/>
    </row>
    <row r="213" spans="1:2" x14ac:dyDescent="0.2">
      <c r="A213" s="76"/>
      <c r="B213" s="77"/>
    </row>
    <row r="214" spans="1:2" x14ac:dyDescent="0.2">
      <c r="A214" s="76"/>
      <c r="B214" s="77"/>
    </row>
    <row r="215" spans="1:2" x14ac:dyDescent="0.2">
      <c r="A215" s="76"/>
      <c r="B215" s="77"/>
    </row>
    <row r="216" spans="1:2" x14ac:dyDescent="0.2">
      <c r="A216" s="76"/>
      <c r="B216" s="77"/>
    </row>
    <row r="217" spans="1:2" x14ac:dyDescent="0.2">
      <c r="A217" s="76"/>
      <c r="B217" s="77"/>
    </row>
    <row r="218" spans="1:2" x14ac:dyDescent="0.2">
      <c r="A218" s="76"/>
      <c r="B218" s="77"/>
    </row>
    <row r="219" spans="1:2" x14ac:dyDescent="0.2">
      <c r="A219" s="76"/>
      <c r="B219" s="77"/>
    </row>
    <row r="220" spans="1:2" x14ac:dyDescent="0.2">
      <c r="A220" s="76"/>
      <c r="B220" s="77"/>
    </row>
    <row r="221" spans="1:2" x14ac:dyDescent="0.2">
      <c r="A221" s="76"/>
      <c r="B221" s="77"/>
    </row>
    <row r="222" spans="1:2" x14ac:dyDescent="0.2">
      <c r="A222" s="76"/>
      <c r="B222" s="77"/>
    </row>
    <row r="223" spans="1:2" x14ac:dyDescent="0.2">
      <c r="A223" s="76"/>
      <c r="B223" s="77"/>
    </row>
    <row r="224" spans="1:2" x14ac:dyDescent="0.2">
      <c r="A224" s="76"/>
      <c r="B224" s="77"/>
    </row>
    <row r="225" spans="1:2" x14ac:dyDescent="0.2">
      <c r="A225" s="76"/>
      <c r="B225" s="77"/>
    </row>
    <row r="226" spans="1:2" x14ac:dyDescent="0.2">
      <c r="A226" s="76"/>
      <c r="B226" s="77"/>
    </row>
    <row r="227" spans="1:2" x14ac:dyDescent="0.2">
      <c r="A227" s="76"/>
      <c r="B227" s="77"/>
    </row>
    <row r="228" spans="1:2" x14ac:dyDescent="0.2">
      <c r="A228" s="76"/>
      <c r="B228" s="77"/>
    </row>
    <row r="229" spans="1:2" x14ac:dyDescent="0.2">
      <c r="A229" s="76"/>
      <c r="B229" s="77"/>
    </row>
    <row r="230" spans="1:2" x14ac:dyDescent="0.2">
      <c r="A230" s="76"/>
      <c r="B230" s="77"/>
    </row>
    <row r="231" spans="1:2" x14ac:dyDescent="0.2">
      <c r="A231" s="76"/>
      <c r="B231" s="77"/>
    </row>
    <row r="232" spans="1:2" x14ac:dyDescent="0.2">
      <c r="A232" s="76"/>
      <c r="B232" s="77"/>
    </row>
    <row r="233" spans="1:2" x14ac:dyDescent="0.2">
      <c r="A233" s="76"/>
      <c r="B233" s="77"/>
    </row>
    <row r="234" spans="1:2" x14ac:dyDescent="0.2">
      <c r="A234" s="76"/>
      <c r="B234" s="77"/>
    </row>
    <row r="235" spans="1:2" x14ac:dyDescent="0.2">
      <c r="A235" s="76"/>
      <c r="B235" s="77"/>
    </row>
    <row r="236" spans="1:2" x14ac:dyDescent="0.2">
      <c r="A236" s="76"/>
      <c r="B236" s="77"/>
    </row>
    <row r="237" spans="1:2" x14ac:dyDescent="0.2">
      <c r="A237" s="76"/>
      <c r="B237" s="77"/>
    </row>
    <row r="238" spans="1:2" x14ac:dyDescent="0.2">
      <c r="A238" s="76"/>
      <c r="B238" s="77"/>
    </row>
    <row r="239" spans="1:2" x14ac:dyDescent="0.2">
      <c r="A239" s="76"/>
      <c r="B239" s="77"/>
    </row>
    <row r="240" spans="1:2" x14ac:dyDescent="0.2">
      <c r="A240" s="76"/>
      <c r="B240" s="77"/>
    </row>
    <row r="241" spans="1:2" x14ac:dyDescent="0.2">
      <c r="A241" s="76"/>
      <c r="B241" s="77"/>
    </row>
    <row r="242" spans="1:2" x14ac:dyDescent="0.2">
      <c r="A242" s="76"/>
      <c r="B242" s="77"/>
    </row>
    <row r="243" spans="1:2" x14ac:dyDescent="0.2">
      <c r="A243" s="76"/>
      <c r="B243" s="77"/>
    </row>
    <row r="244" spans="1:2" x14ac:dyDescent="0.2">
      <c r="A244" s="76"/>
      <c r="B244" s="77"/>
    </row>
    <row r="245" spans="1:2" x14ac:dyDescent="0.2">
      <c r="A245" s="76"/>
      <c r="B245" s="77"/>
    </row>
    <row r="246" spans="1:2" x14ac:dyDescent="0.2">
      <c r="A246" s="76"/>
      <c r="B246" s="77"/>
    </row>
    <row r="247" spans="1:2" x14ac:dyDescent="0.2">
      <c r="A247" s="76"/>
      <c r="B247" s="77"/>
    </row>
    <row r="248" spans="1:2" x14ac:dyDescent="0.2">
      <c r="A248" s="76"/>
      <c r="B248" s="77"/>
    </row>
    <row r="249" spans="1:2" x14ac:dyDescent="0.2">
      <c r="A249" s="76"/>
      <c r="B249" s="77"/>
    </row>
    <row r="250" spans="1:2" x14ac:dyDescent="0.2">
      <c r="A250" s="76"/>
      <c r="B250" s="77"/>
    </row>
    <row r="251" spans="1:2" x14ac:dyDescent="0.2">
      <c r="A251" s="76"/>
      <c r="B251" s="77"/>
    </row>
    <row r="252" spans="1:2" x14ac:dyDescent="0.2">
      <c r="A252" s="76"/>
      <c r="B252" s="77"/>
    </row>
    <row r="253" spans="1:2" x14ac:dyDescent="0.2">
      <c r="A253" s="76"/>
      <c r="B253" s="77"/>
    </row>
    <row r="254" spans="1:2" x14ac:dyDescent="0.2">
      <c r="A254" s="76"/>
      <c r="B254" s="77"/>
    </row>
    <row r="255" spans="1:2" x14ac:dyDescent="0.2">
      <c r="A255" s="76"/>
      <c r="B255" s="77"/>
    </row>
    <row r="256" spans="1:2" x14ac:dyDescent="0.2">
      <c r="A256" s="76"/>
      <c r="B256" s="77"/>
    </row>
    <row r="257" spans="1:2" x14ac:dyDescent="0.2">
      <c r="A257" s="76"/>
      <c r="B257" s="77"/>
    </row>
    <row r="258" spans="1:2" x14ac:dyDescent="0.2">
      <c r="A258" s="76"/>
      <c r="B258" s="77"/>
    </row>
    <row r="259" spans="1:2" x14ac:dyDescent="0.2">
      <c r="A259" s="76"/>
      <c r="B259" s="77"/>
    </row>
    <row r="260" spans="1:2" x14ac:dyDescent="0.2">
      <c r="A260" s="76"/>
      <c r="B260" s="77"/>
    </row>
    <row r="261" spans="1:2" x14ac:dyDescent="0.2">
      <c r="A261" s="76"/>
      <c r="B261" s="77"/>
    </row>
    <row r="262" spans="1:2" x14ac:dyDescent="0.2">
      <c r="A262" s="76"/>
      <c r="B262" s="77"/>
    </row>
    <row r="263" spans="1:2" x14ac:dyDescent="0.2">
      <c r="A263" s="76"/>
      <c r="B263" s="77"/>
    </row>
    <row r="264" spans="1:2" x14ac:dyDescent="0.2">
      <c r="A264" s="76"/>
      <c r="B264" s="77"/>
    </row>
    <row r="265" spans="1:2" x14ac:dyDescent="0.2">
      <c r="A265" s="76"/>
      <c r="B265" s="77"/>
    </row>
    <row r="266" spans="1:2" x14ac:dyDescent="0.2">
      <c r="A266" s="76"/>
      <c r="B266" s="77"/>
    </row>
    <row r="267" spans="1:2" x14ac:dyDescent="0.2">
      <c r="A267" s="76"/>
      <c r="B267" s="77"/>
    </row>
    <row r="268" spans="1:2" x14ac:dyDescent="0.2">
      <c r="A268" s="76"/>
      <c r="B268" s="77"/>
    </row>
    <row r="269" spans="1:2" x14ac:dyDescent="0.2">
      <c r="A269" s="76"/>
      <c r="B269" s="77"/>
    </row>
    <row r="270" spans="1:2" x14ac:dyDescent="0.2">
      <c r="A270" s="76"/>
      <c r="B270" s="77"/>
    </row>
    <row r="271" spans="1:2" x14ac:dyDescent="0.2">
      <c r="A271" s="76"/>
      <c r="B271" s="77"/>
    </row>
    <row r="272" spans="1:2" x14ac:dyDescent="0.2">
      <c r="A272" s="76"/>
      <c r="B272" s="77"/>
    </row>
    <row r="273" spans="1:2" x14ac:dyDescent="0.2">
      <c r="A273" s="76"/>
      <c r="B273" s="77"/>
    </row>
    <row r="274" spans="1:2" x14ac:dyDescent="0.2">
      <c r="A274" s="76"/>
      <c r="B274" s="77"/>
    </row>
    <row r="275" spans="1:2" x14ac:dyDescent="0.2">
      <c r="A275" s="76"/>
      <c r="B275" s="77"/>
    </row>
    <row r="276" spans="1:2" x14ac:dyDescent="0.2">
      <c r="A276" s="76"/>
      <c r="B276" s="77"/>
    </row>
    <row r="277" spans="1:2" x14ac:dyDescent="0.2">
      <c r="A277" s="76"/>
      <c r="B277" s="77"/>
    </row>
    <row r="278" spans="1:2" x14ac:dyDescent="0.2">
      <c r="A278" s="76"/>
      <c r="B278" s="77"/>
    </row>
    <row r="279" spans="1:2" x14ac:dyDescent="0.2">
      <c r="A279" s="76"/>
      <c r="B279" s="77"/>
    </row>
    <row r="280" spans="1:2" x14ac:dyDescent="0.2">
      <c r="A280" s="76"/>
      <c r="B280" s="77"/>
    </row>
    <row r="281" spans="1:2" x14ac:dyDescent="0.2">
      <c r="A281" s="76"/>
      <c r="B281" s="77"/>
    </row>
    <row r="282" spans="1:2" x14ac:dyDescent="0.2">
      <c r="A282" s="76"/>
      <c r="B282" s="77"/>
    </row>
    <row r="283" spans="1:2" x14ac:dyDescent="0.2">
      <c r="A283" s="76"/>
      <c r="B283" s="77"/>
    </row>
    <row r="284" spans="1:2" x14ac:dyDescent="0.2">
      <c r="A284" s="76"/>
      <c r="B284" s="77"/>
    </row>
    <row r="285" spans="1:2" x14ac:dyDescent="0.2">
      <c r="A285" s="76"/>
      <c r="B285" s="77"/>
    </row>
    <row r="286" spans="1:2" x14ac:dyDescent="0.2">
      <c r="A286" s="76"/>
      <c r="B286" s="77"/>
    </row>
    <row r="287" spans="1:2" x14ac:dyDescent="0.2">
      <c r="A287" s="76"/>
      <c r="B287" s="77"/>
    </row>
    <row r="288" spans="1:2" x14ac:dyDescent="0.2">
      <c r="A288" s="76"/>
      <c r="B288" s="77"/>
    </row>
    <row r="289" spans="1:2" x14ac:dyDescent="0.2">
      <c r="A289" s="76"/>
      <c r="B289" s="77"/>
    </row>
    <row r="290" spans="1:2" x14ac:dyDescent="0.2">
      <c r="A290" s="76"/>
      <c r="B290" s="77"/>
    </row>
    <row r="291" spans="1:2" x14ac:dyDescent="0.2">
      <c r="A291" s="76"/>
      <c r="B291" s="77"/>
    </row>
    <row r="292" spans="1:2" x14ac:dyDescent="0.2">
      <c r="A292" s="76"/>
      <c r="B292" s="77"/>
    </row>
    <row r="293" spans="1:2" x14ac:dyDescent="0.2">
      <c r="A293" s="76"/>
      <c r="B293" s="77"/>
    </row>
    <row r="294" spans="1:2" x14ac:dyDescent="0.2">
      <c r="A294" s="76"/>
      <c r="B294" s="77"/>
    </row>
    <row r="295" spans="1:2" x14ac:dyDescent="0.2">
      <c r="A295" s="76"/>
      <c r="B295" s="77"/>
    </row>
    <row r="296" spans="1:2" x14ac:dyDescent="0.2">
      <c r="A296" s="76"/>
      <c r="B296" s="77"/>
    </row>
    <row r="297" spans="1:2" x14ac:dyDescent="0.2">
      <c r="A297" s="76"/>
      <c r="B297" s="77"/>
    </row>
    <row r="298" spans="1:2" x14ac:dyDescent="0.2">
      <c r="A298" s="76"/>
      <c r="B298" s="77"/>
    </row>
    <row r="299" spans="1:2" x14ac:dyDescent="0.2">
      <c r="A299" s="76"/>
      <c r="B299" s="77"/>
    </row>
    <row r="300" spans="1:2" x14ac:dyDescent="0.2">
      <c r="A300" s="76"/>
      <c r="B300" s="77"/>
    </row>
    <row r="301" spans="1:2" x14ac:dyDescent="0.2">
      <c r="A301" s="76"/>
      <c r="B301" s="77"/>
    </row>
    <row r="302" spans="1:2" x14ac:dyDescent="0.2">
      <c r="A302" s="76"/>
      <c r="B302" s="77"/>
    </row>
    <row r="303" spans="1:2" x14ac:dyDescent="0.2">
      <c r="A303" s="76"/>
      <c r="B303" s="77"/>
    </row>
    <row r="304" spans="1:2" x14ac:dyDescent="0.2">
      <c r="A304" s="76"/>
      <c r="B304" s="77"/>
    </row>
    <row r="305" spans="1:2" x14ac:dyDescent="0.2">
      <c r="A305" s="76"/>
      <c r="B305" s="77"/>
    </row>
    <row r="306" spans="1:2" x14ac:dyDescent="0.2">
      <c r="A306" s="76"/>
      <c r="B306" s="77"/>
    </row>
    <row r="307" spans="1:2" x14ac:dyDescent="0.2">
      <c r="A307" s="76"/>
      <c r="B307" s="77"/>
    </row>
    <row r="308" spans="1:2" x14ac:dyDescent="0.2">
      <c r="A308" s="76"/>
      <c r="B308" s="77"/>
    </row>
    <row r="309" spans="1:2" x14ac:dyDescent="0.2">
      <c r="A309" s="76"/>
      <c r="B309" s="77"/>
    </row>
    <row r="310" spans="1:2" x14ac:dyDescent="0.2">
      <c r="A310" s="76"/>
      <c r="B310" s="77"/>
    </row>
    <row r="311" spans="1:2" x14ac:dyDescent="0.2">
      <c r="A311" s="76"/>
      <c r="B311" s="77"/>
    </row>
    <row r="312" spans="1:2" x14ac:dyDescent="0.2">
      <c r="A312" s="76"/>
      <c r="B312" s="77"/>
    </row>
    <row r="313" spans="1:2" x14ac:dyDescent="0.2">
      <c r="A313" s="76"/>
      <c r="B313" s="77"/>
    </row>
    <row r="314" spans="1:2" x14ac:dyDescent="0.2">
      <c r="A314" s="76"/>
      <c r="B314" s="77"/>
    </row>
    <row r="315" spans="1:2" x14ac:dyDescent="0.2">
      <c r="A315" s="76"/>
      <c r="B315" s="77"/>
    </row>
    <row r="316" spans="1:2" x14ac:dyDescent="0.2">
      <c r="A316" s="76"/>
      <c r="B316" s="77"/>
    </row>
    <row r="317" spans="1:2" x14ac:dyDescent="0.2">
      <c r="A317" s="76"/>
      <c r="B317" s="77"/>
    </row>
    <row r="318" spans="1:2" x14ac:dyDescent="0.2">
      <c r="A318" s="76"/>
      <c r="B318" s="77"/>
    </row>
    <row r="319" spans="1:2" x14ac:dyDescent="0.2">
      <c r="A319" s="76"/>
      <c r="B319" s="77"/>
    </row>
    <row r="320" spans="1:2" x14ac:dyDescent="0.2">
      <c r="A320" s="76"/>
      <c r="B320" s="77"/>
    </row>
    <row r="321" spans="1:2" x14ac:dyDescent="0.2">
      <c r="A321" s="76"/>
      <c r="B321" s="77"/>
    </row>
    <row r="322" spans="1:2" x14ac:dyDescent="0.2">
      <c r="A322" s="76"/>
      <c r="B322" s="77"/>
    </row>
    <row r="323" spans="1:2" x14ac:dyDescent="0.2">
      <c r="A323" s="76"/>
      <c r="B323" s="77"/>
    </row>
    <row r="324" spans="1:2" x14ac:dyDescent="0.2">
      <c r="A324" s="76"/>
      <c r="B324" s="77"/>
    </row>
    <row r="325" spans="1:2" x14ac:dyDescent="0.2">
      <c r="A325" s="76"/>
      <c r="B325" s="77"/>
    </row>
    <row r="326" spans="1:2" x14ac:dyDescent="0.2">
      <c r="A326" s="76"/>
      <c r="B326" s="77"/>
    </row>
    <row r="327" spans="1:2" x14ac:dyDescent="0.2">
      <c r="A327" s="76"/>
      <c r="B327" s="77"/>
    </row>
    <row r="328" spans="1:2" x14ac:dyDescent="0.2">
      <c r="A328" s="76"/>
      <c r="B328" s="77"/>
    </row>
    <row r="329" spans="1:2" x14ac:dyDescent="0.2">
      <c r="A329" s="76"/>
      <c r="B329" s="77"/>
    </row>
    <row r="330" spans="1:2" x14ac:dyDescent="0.2">
      <c r="A330" s="76"/>
      <c r="B330" s="77"/>
    </row>
    <row r="331" spans="1:2" x14ac:dyDescent="0.2">
      <c r="A331" s="76"/>
      <c r="B331" s="77"/>
    </row>
    <row r="332" spans="1:2" x14ac:dyDescent="0.2">
      <c r="A332" s="76"/>
      <c r="B332" s="77"/>
    </row>
    <row r="333" spans="1:2" x14ac:dyDescent="0.2">
      <c r="A333" s="76"/>
      <c r="B333" s="77"/>
    </row>
    <row r="334" spans="1:2" x14ac:dyDescent="0.2">
      <c r="A334" s="76"/>
      <c r="B334" s="77"/>
    </row>
    <row r="335" spans="1:2" x14ac:dyDescent="0.2">
      <c r="A335" s="76"/>
      <c r="B335" s="77"/>
    </row>
    <row r="336" spans="1:2" x14ac:dyDescent="0.2">
      <c r="A336" s="76"/>
      <c r="B336" s="77"/>
    </row>
    <row r="337" spans="1:2" x14ac:dyDescent="0.2">
      <c r="A337" s="76"/>
      <c r="B337" s="77"/>
    </row>
    <row r="338" spans="1:2" x14ac:dyDescent="0.2">
      <c r="A338" s="76"/>
      <c r="B338" s="77"/>
    </row>
    <row r="339" spans="1:2" x14ac:dyDescent="0.2">
      <c r="A339" s="76"/>
      <c r="B339" s="77"/>
    </row>
    <row r="340" spans="1:2" x14ac:dyDescent="0.2">
      <c r="A340" s="76"/>
      <c r="B340" s="77"/>
    </row>
    <row r="341" spans="1:2" x14ac:dyDescent="0.2">
      <c r="A341" s="76"/>
      <c r="B341" s="77"/>
    </row>
    <row r="342" spans="1:2" x14ac:dyDescent="0.2">
      <c r="A342" s="76"/>
      <c r="B342" s="77"/>
    </row>
    <row r="343" spans="1:2" x14ac:dyDescent="0.2">
      <c r="A343" s="76"/>
      <c r="B343" s="77"/>
    </row>
    <row r="344" spans="1:2" x14ac:dyDescent="0.2">
      <c r="A344" s="76"/>
      <c r="B344" s="77"/>
    </row>
    <row r="345" spans="1:2" x14ac:dyDescent="0.2">
      <c r="A345" s="76"/>
      <c r="B345" s="77"/>
    </row>
    <row r="346" spans="1:2" x14ac:dyDescent="0.2">
      <c r="A346" s="76"/>
      <c r="B346" s="77"/>
    </row>
    <row r="347" spans="1:2" x14ac:dyDescent="0.2">
      <c r="A347" s="76"/>
      <c r="B347" s="77"/>
    </row>
    <row r="348" spans="1:2" x14ac:dyDescent="0.2">
      <c r="A348" s="76"/>
      <c r="B348" s="77"/>
    </row>
    <row r="349" spans="1:2" x14ac:dyDescent="0.2">
      <c r="A349" s="76"/>
      <c r="B349" s="77"/>
    </row>
    <row r="350" spans="1:2" x14ac:dyDescent="0.2">
      <c r="A350" s="76"/>
      <c r="B350" s="77"/>
    </row>
    <row r="351" spans="1:2" x14ac:dyDescent="0.2">
      <c r="A351" s="76"/>
      <c r="B351" s="77"/>
    </row>
    <row r="352" spans="1:2" x14ac:dyDescent="0.2">
      <c r="A352" s="76"/>
      <c r="B352" s="77"/>
    </row>
    <row r="353" spans="1:2" x14ac:dyDescent="0.2">
      <c r="A353" s="76"/>
      <c r="B353" s="77"/>
    </row>
    <row r="354" spans="1:2" x14ac:dyDescent="0.2">
      <c r="A354" s="76"/>
      <c r="B354" s="77"/>
    </row>
    <row r="355" spans="1:2" x14ac:dyDescent="0.2">
      <c r="A355" s="76"/>
      <c r="B355" s="77"/>
    </row>
    <row r="356" spans="1:2" x14ac:dyDescent="0.2">
      <c r="A356" s="76"/>
      <c r="B356" s="77"/>
    </row>
    <row r="357" spans="1:2" x14ac:dyDescent="0.2">
      <c r="A357" s="76"/>
      <c r="B357" s="77"/>
    </row>
    <row r="358" spans="1:2" x14ac:dyDescent="0.2">
      <c r="A358" s="76"/>
      <c r="B358" s="77"/>
    </row>
    <row r="359" spans="1:2" x14ac:dyDescent="0.2">
      <c r="A359" s="76"/>
      <c r="B359" s="77"/>
    </row>
    <row r="360" spans="1:2" x14ac:dyDescent="0.2">
      <c r="A360" s="76"/>
      <c r="B360" s="77"/>
    </row>
    <row r="361" spans="1:2" x14ac:dyDescent="0.2">
      <c r="A361" s="76"/>
      <c r="B361" s="77"/>
    </row>
    <row r="362" spans="1:2" x14ac:dyDescent="0.2">
      <c r="A362" s="76"/>
      <c r="B362" s="77"/>
    </row>
    <row r="363" spans="1:2" x14ac:dyDescent="0.2">
      <c r="A363" s="76"/>
      <c r="B363" s="77"/>
    </row>
    <row r="364" spans="1:2" x14ac:dyDescent="0.2">
      <c r="A364" s="76"/>
      <c r="B364" s="77"/>
    </row>
    <row r="365" spans="1:2" x14ac:dyDescent="0.2">
      <c r="A365" s="76"/>
      <c r="B365" s="77"/>
    </row>
    <row r="366" spans="1:2" x14ac:dyDescent="0.2">
      <c r="A366" s="76"/>
      <c r="B366" s="77"/>
    </row>
    <row r="367" spans="1:2" x14ac:dyDescent="0.2">
      <c r="A367" s="76"/>
      <c r="B367" s="77"/>
    </row>
    <row r="368" spans="1:2" x14ac:dyDescent="0.2">
      <c r="A368" s="76"/>
      <c r="B368" s="77"/>
    </row>
    <row r="369" spans="1:2" x14ac:dyDescent="0.2">
      <c r="A369" s="76"/>
      <c r="B369" s="77"/>
    </row>
    <row r="370" spans="1:2" x14ac:dyDescent="0.2">
      <c r="A370" s="76"/>
      <c r="B370" s="77"/>
    </row>
    <row r="371" spans="1:2" x14ac:dyDescent="0.2">
      <c r="A371" s="76"/>
      <c r="B371" s="77"/>
    </row>
    <row r="372" spans="1:2" x14ac:dyDescent="0.2">
      <c r="A372" s="76"/>
      <c r="B372" s="77"/>
    </row>
    <row r="373" spans="1:2" x14ac:dyDescent="0.2">
      <c r="A373" s="76"/>
      <c r="B373" s="77"/>
    </row>
    <row r="374" spans="1:2" x14ac:dyDescent="0.2">
      <c r="A374" s="76"/>
      <c r="B374" s="77"/>
    </row>
    <row r="375" spans="1:2" x14ac:dyDescent="0.2">
      <c r="A375" s="76"/>
      <c r="B375" s="77"/>
    </row>
    <row r="376" spans="1:2" x14ac:dyDescent="0.2">
      <c r="A376" s="76"/>
      <c r="B376" s="77"/>
    </row>
    <row r="377" spans="1:2" x14ac:dyDescent="0.2">
      <c r="A377" s="76"/>
      <c r="B377" s="77"/>
    </row>
    <row r="378" spans="1:2" x14ac:dyDescent="0.2">
      <c r="A378" s="76"/>
      <c r="B378" s="77"/>
    </row>
    <row r="379" spans="1:2" x14ac:dyDescent="0.2">
      <c r="A379" s="76"/>
      <c r="B379" s="77"/>
    </row>
    <row r="380" spans="1:2" x14ac:dyDescent="0.2">
      <c r="A380" s="76"/>
      <c r="B380" s="77"/>
    </row>
    <row r="381" spans="1:2" x14ac:dyDescent="0.2">
      <c r="A381" s="76"/>
      <c r="B381" s="77"/>
    </row>
    <row r="382" spans="1:2" x14ac:dyDescent="0.2">
      <c r="A382" s="76"/>
      <c r="B382" s="77"/>
    </row>
    <row r="383" spans="1:2" x14ac:dyDescent="0.2">
      <c r="A383" s="76"/>
      <c r="B383" s="77"/>
    </row>
    <row r="384" spans="1:2" x14ac:dyDescent="0.2">
      <c r="A384" s="76"/>
      <c r="B384" s="77"/>
    </row>
    <row r="385" spans="1:2" x14ac:dyDescent="0.2">
      <c r="A385" s="76"/>
      <c r="B385" s="77"/>
    </row>
    <row r="386" spans="1:2" x14ac:dyDescent="0.2">
      <c r="A386" s="76"/>
      <c r="B386" s="77"/>
    </row>
    <row r="387" spans="1:2" x14ac:dyDescent="0.2">
      <c r="A387" s="76"/>
      <c r="B387" s="77"/>
    </row>
    <row r="388" spans="1:2" x14ac:dyDescent="0.2">
      <c r="A388" s="76"/>
      <c r="B388" s="77"/>
    </row>
    <row r="389" spans="1:2" x14ac:dyDescent="0.2">
      <c r="A389" s="76"/>
      <c r="B389" s="77"/>
    </row>
    <row r="390" spans="1:2" x14ac:dyDescent="0.2">
      <c r="A390" s="76"/>
      <c r="B390" s="77"/>
    </row>
    <row r="391" spans="1:2" x14ac:dyDescent="0.2">
      <c r="A391" s="76"/>
      <c r="B391" s="77"/>
    </row>
    <row r="392" spans="1:2" x14ac:dyDescent="0.2">
      <c r="A392" s="76"/>
      <c r="B392" s="77"/>
    </row>
    <row r="393" spans="1:2" x14ac:dyDescent="0.2">
      <c r="A393" s="76"/>
      <c r="B393" s="77"/>
    </row>
    <row r="394" spans="1:2" x14ac:dyDescent="0.2">
      <c r="A394" s="76"/>
      <c r="B394" s="77"/>
    </row>
    <row r="395" spans="1:2" x14ac:dyDescent="0.2">
      <c r="A395" s="76"/>
      <c r="B395" s="77"/>
    </row>
    <row r="396" spans="1:2" x14ac:dyDescent="0.2">
      <c r="A396" s="76"/>
      <c r="B396" s="77"/>
    </row>
    <row r="397" spans="1:2" x14ac:dyDescent="0.2">
      <c r="A397" s="76"/>
      <c r="B397" s="77"/>
    </row>
    <row r="398" spans="1:2" x14ac:dyDescent="0.2">
      <c r="A398" s="76"/>
      <c r="B398" s="77"/>
    </row>
    <row r="399" spans="1:2" x14ac:dyDescent="0.2">
      <c r="A399" s="76"/>
      <c r="B399" s="77"/>
    </row>
    <row r="400" spans="1:2" x14ac:dyDescent="0.2">
      <c r="A400" s="76"/>
      <c r="B400" s="77"/>
    </row>
    <row r="401" spans="1:2" x14ac:dyDescent="0.2">
      <c r="A401" s="76"/>
      <c r="B401" s="77"/>
    </row>
    <row r="402" spans="1:2" x14ac:dyDescent="0.2">
      <c r="A402" s="76"/>
      <c r="B402" s="77"/>
    </row>
    <row r="403" spans="1:2" x14ac:dyDescent="0.2">
      <c r="A403" s="76"/>
      <c r="B403" s="77"/>
    </row>
    <row r="404" spans="1:2" x14ac:dyDescent="0.2">
      <c r="A404" s="76"/>
      <c r="B404" s="77"/>
    </row>
    <row r="405" spans="1:2" x14ac:dyDescent="0.2">
      <c r="A405" s="76"/>
      <c r="B405" s="77"/>
    </row>
    <row r="406" spans="1:2" x14ac:dyDescent="0.2">
      <c r="A406" s="76"/>
      <c r="B406" s="77"/>
    </row>
    <row r="407" spans="1:2" x14ac:dyDescent="0.2">
      <c r="A407" s="76"/>
      <c r="B407" s="77"/>
    </row>
    <row r="408" spans="1:2" x14ac:dyDescent="0.2">
      <c r="A408" s="76"/>
      <c r="B408" s="77"/>
    </row>
    <row r="409" spans="1:2" x14ac:dyDescent="0.2">
      <c r="A409" s="76"/>
      <c r="B409" s="77"/>
    </row>
    <row r="410" spans="1:2" x14ac:dyDescent="0.2">
      <c r="A410" s="76"/>
      <c r="B410" s="77"/>
    </row>
    <row r="411" spans="1:2" x14ac:dyDescent="0.2">
      <c r="A411" s="76"/>
      <c r="B411" s="77"/>
    </row>
    <row r="412" spans="1:2" x14ac:dyDescent="0.2">
      <c r="A412" s="76"/>
      <c r="B412" s="77"/>
    </row>
    <row r="413" spans="1:2" x14ac:dyDescent="0.2">
      <c r="A413" s="76"/>
      <c r="B413" s="77"/>
    </row>
    <row r="414" spans="1:2" x14ac:dyDescent="0.2">
      <c r="A414" s="76"/>
      <c r="B414" s="77"/>
    </row>
    <row r="415" spans="1:2" x14ac:dyDescent="0.2">
      <c r="A415" s="76"/>
      <c r="B415" s="77"/>
    </row>
    <row r="416" spans="1:2" x14ac:dyDescent="0.2">
      <c r="A416" s="76"/>
      <c r="B416" s="77"/>
    </row>
    <row r="417" spans="1:2" x14ac:dyDescent="0.2">
      <c r="A417" s="76"/>
      <c r="B417" s="77"/>
    </row>
    <row r="418" spans="1:2" x14ac:dyDescent="0.2">
      <c r="A418" s="76"/>
      <c r="B418" s="77"/>
    </row>
    <row r="419" spans="1:2" x14ac:dyDescent="0.2">
      <c r="A419" s="76"/>
      <c r="B419" s="77"/>
    </row>
    <row r="420" spans="1:2" x14ac:dyDescent="0.2">
      <c r="A420" s="76"/>
      <c r="B420" s="77"/>
    </row>
    <row r="421" spans="1:2" x14ac:dyDescent="0.2">
      <c r="A421" s="76"/>
      <c r="B421" s="77"/>
    </row>
    <row r="422" spans="1:2" x14ac:dyDescent="0.2">
      <c r="A422" s="76"/>
      <c r="B422" s="77"/>
    </row>
    <row r="423" spans="1:2" x14ac:dyDescent="0.2">
      <c r="A423" s="76"/>
      <c r="B423" s="77"/>
    </row>
    <row r="424" spans="1:2" x14ac:dyDescent="0.2">
      <c r="A424" s="76"/>
      <c r="B424" s="77"/>
    </row>
    <row r="425" spans="1:2" x14ac:dyDescent="0.2">
      <c r="A425" s="76"/>
      <c r="B425" s="77"/>
    </row>
    <row r="426" spans="1:2" x14ac:dyDescent="0.2">
      <c r="A426" s="76"/>
      <c r="B426" s="77"/>
    </row>
    <row r="427" spans="1:2" x14ac:dyDescent="0.2">
      <c r="A427" s="76"/>
      <c r="B427" s="77"/>
    </row>
    <row r="428" spans="1:2" x14ac:dyDescent="0.2">
      <c r="A428" s="76"/>
      <c r="B428" s="77"/>
    </row>
    <row r="429" spans="1:2" x14ac:dyDescent="0.2">
      <c r="A429" s="76"/>
      <c r="B429" s="77"/>
    </row>
    <row r="430" spans="1:2" x14ac:dyDescent="0.2">
      <c r="A430" s="76"/>
      <c r="B430" s="77"/>
    </row>
    <row r="431" spans="1:2" x14ac:dyDescent="0.2">
      <c r="A431" s="76"/>
      <c r="B431" s="77"/>
    </row>
    <row r="432" spans="1:2" x14ac:dyDescent="0.2">
      <c r="A432" s="76"/>
      <c r="B432" s="77"/>
    </row>
    <row r="433" spans="1:2" x14ac:dyDescent="0.2">
      <c r="A433" s="76"/>
      <c r="B433" s="77"/>
    </row>
    <row r="434" spans="1:2" x14ac:dyDescent="0.2">
      <c r="A434" s="76"/>
      <c r="B434" s="77"/>
    </row>
    <row r="435" spans="1:2" x14ac:dyDescent="0.2">
      <c r="A435" s="76"/>
      <c r="B435" s="77"/>
    </row>
    <row r="436" spans="1:2" x14ac:dyDescent="0.2">
      <c r="A436" s="76"/>
      <c r="B436" s="77"/>
    </row>
    <row r="437" spans="1:2" x14ac:dyDescent="0.2">
      <c r="A437" s="76"/>
      <c r="B437" s="77"/>
    </row>
    <row r="438" spans="1:2" x14ac:dyDescent="0.2">
      <c r="A438" s="76"/>
      <c r="B438" s="77"/>
    </row>
    <row r="439" spans="1:2" x14ac:dyDescent="0.2">
      <c r="A439" s="76"/>
      <c r="B439" s="77"/>
    </row>
    <row r="440" spans="1:2" x14ac:dyDescent="0.2">
      <c r="A440" s="76"/>
      <c r="B440" s="77"/>
    </row>
    <row r="441" spans="1:2" x14ac:dyDescent="0.2">
      <c r="A441" s="76"/>
      <c r="B441" s="77"/>
    </row>
    <row r="442" spans="1:2" x14ac:dyDescent="0.2">
      <c r="A442" s="76"/>
      <c r="B442" s="77"/>
    </row>
    <row r="443" spans="1:2" x14ac:dyDescent="0.2">
      <c r="A443" s="76"/>
      <c r="B443" s="77"/>
    </row>
    <row r="444" spans="1:2" x14ac:dyDescent="0.2">
      <c r="A444" s="76"/>
      <c r="B444" s="77"/>
    </row>
    <row r="445" spans="1:2" x14ac:dyDescent="0.2">
      <c r="A445" s="76"/>
      <c r="B445" s="77"/>
    </row>
    <row r="446" spans="1:2" x14ac:dyDescent="0.2">
      <c r="A446" s="76"/>
      <c r="B446" s="77"/>
    </row>
    <row r="447" spans="1:2" x14ac:dyDescent="0.2">
      <c r="A447" s="76"/>
      <c r="B447" s="77"/>
    </row>
    <row r="448" spans="1:2" x14ac:dyDescent="0.2">
      <c r="A448" s="76"/>
      <c r="B448" s="77"/>
    </row>
    <row r="449" spans="1:2" x14ac:dyDescent="0.2">
      <c r="A449" s="76"/>
      <c r="B449" s="77"/>
    </row>
    <row r="450" spans="1:2" x14ac:dyDescent="0.2">
      <c r="A450" s="76"/>
      <c r="B450" s="77"/>
    </row>
    <row r="451" spans="1:2" x14ac:dyDescent="0.2">
      <c r="A451" s="76"/>
      <c r="B451" s="77"/>
    </row>
    <row r="452" spans="1:2" x14ac:dyDescent="0.2">
      <c r="A452" s="76"/>
      <c r="B452" s="77"/>
    </row>
    <row r="453" spans="1:2" x14ac:dyDescent="0.2">
      <c r="A453" s="76"/>
      <c r="B453" s="77"/>
    </row>
    <row r="454" spans="1:2" x14ac:dyDescent="0.2">
      <c r="A454" s="76"/>
      <c r="B454" s="77"/>
    </row>
    <row r="455" spans="1:2" x14ac:dyDescent="0.2">
      <c r="A455" s="76"/>
      <c r="B455" s="77"/>
    </row>
    <row r="456" spans="1:2" x14ac:dyDescent="0.2">
      <c r="A456" s="76"/>
      <c r="B456" s="77"/>
    </row>
    <row r="457" spans="1:2" x14ac:dyDescent="0.2">
      <c r="A457" s="76"/>
      <c r="B457" s="77"/>
    </row>
    <row r="458" spans="1:2" x14ac:dyDescent="0.2">
      <c r="A458" s="76"/>
      <c r="B458" s="77"/>
    </row>
    <row r="459" spans="1:2" x14ac:dyDescent="0.2">
      <c r="A459" s="76"/>
      <c r="B459" s="77"/>
    </row>
    <row r="460" spans="1:2" x14ac:dyDescent="0.2">
      <c r="A460" s="76"/>
      <c r="B460" s="77"/>
    </row>
    <row r="461" spans="1:2" x14ac:dyDescent="0.2">
      <c r="A461" s="76"/>
      <c r="B461" s="77"/>
    </row>
    <row r="462" spans="1:2" x14ac:dyDescent="0.2">
      <c r="A462" s="76"/>
      <c r="B462" s="77"/>
    </row>
    <row r="463" spans="1:2" x14ac:dyDescent="0.2">
      <c r="A463" s="76"/>
      <c r="B463" s="77"/>
    </row>
    <row r="464" spans="1:2" x14ac:dyDescent="0.2">
      <c r="A464" s="76"/>
      <c r="B464" s="77"/>
    </row>
    <row r="465" spans="1:2" x14ac:dyDescent="0.2">
      <c r="A465" s="76"/>
      <c r="B465" s="77"/>
    </row>
    <row r="466" spans="1:2" x14ac:dyDescent="0.2">
      <c r="A466" s="76"/>
      <c r="B466" s="77"/>
    </row>
    <row r="467" spans="1:2" x14ac:dyDescent="0.2">
      <c r="A467" s="76"/>
      <c r="B467" s="77"/>
    </row>
    <row r="468" spans="1:2" x14ac:dyDescent="0.2">
      <c r="A468" s="76"/>
      <c r="B468" s="77"/>
    </row>
    <row r="469" spans="1:2" x14ac:dyDescent="0.2">
      <c r="A469" s="76"/>
      <c r="B469" s="77"/>
    </row>
    <row r="470" spans="1:2" x14ac:dyDescent="0.2">
      <c r="A470" s="76"/>
      <c r="B470" s="77"/>
    </row>
    <row r="471" spans="1:2" x14ac:dyDescent="0.2">
      <c r="A471" s="76"/>
      <c r="B471" s="77"/>
    </row>
    <row r="472" spans="1:2" x14ac:dyDescent="0.2">
      <c r="A472" s="76"/>
      <c r="B472" s="77"/>
    </row>
    <row r="473" spans="1:2" x14ac:dyDescent="0.2">
      <c r="A473" s="76"/>
      <c r="B473" s="77"/>
    </row>
    <row r="474" spans="1:2" x14ac:dyDescent="0.2">
      <c r="A474" s="76"/>
      <c r="B474" s="77"/>
    </row>
    <row r="475" spans="1:2" x14ac:dyDescent="0.2">
      <c r="A475" s="76"/>
      <c r="B475" s="77"/>
    </row>
    <row r="476" spans="1:2" x14ac:dyDescent="0.2">
      <c r="A476" s="76"/>
      <c r="B476" s="77"/>
    </row>
    <row r="477" spans="1:2" x14ac:dyDescent="0.2">
      <c r="A477" s="76"/>
      <c r="B477" s="77"/>
    </row>
    <row r="478" spans="1:2" x14ac:dyDescent="0.2">
      <c r="A478" s="76"/>
      <c r="B478" s="77"/>
    </row>
    <row r="479" spans="1:2" x14ac:dyDescent="0.2">
      <c r="A479" s="76"/>
      <c r="B479" s="77"/>
    </row>
    <row r="480" spans="1:2" x14ac:dyDescent="0.2">
      <c r="A480" s="76"/>
      <c r="B480" s="77"/>
    </row>
    <row r="481" spans="1:2" x14ac:dyDescent="0.2">
      <c r="A481" s="76"/>
      <c r="B481" s="77"/>
    </row>
    <row r="482" spans="1:2" x14ac:dyDescent="0.2">
      <c r="A482" s="76"/>
      <c r="B482" s="77"/>
    </row>
    <row r="483" spans="1:2" x14ac:dyDescent="0.2">
      <c r="A483" s="76"/>
      <c r="B483" s="77"/>
    </row>
    <row r="484" spans="1:2" x14ac:dyDescent="0.2">
      <c r="A484" s="76"/>
      <c r="B484" s="77"/>
    </row>
    <row r="485" spans="1:2" x14ac:dyDescent="0.2">
      <c r="A485" s="76"/>
      <c r="B485" s="77"/>
    </row>
    <row r="486" spans="1:2" x14ac:dyDescent="0.2">
      <c r="A486" s="76"/>
      <c r="B486" s="77"/>
    </row>
    <row r="487" spans="1:2" x14ac:dyDescent="0.2">
      <c r="A487" s="76"/>
      <c r="B487" s="77"/>
    </row>
    <row r="488" spans="1:2" x14ac:dyDescent="0.2">
      <c r="A488" s="76"/>
      <c r="B488" s="77"/>
    </row>
    <row r="489" spans="1:2" x14ac:dyDescent="0.2">
      <c r="A489" s="76"/>
      <c r="B489" s="77"/>
    </row>
    <row r="490" spans="1:2" x14ac:dyDescent="0.2">
      <c r="A490" s="76"/>
      <c r="B490" s="77"/>
    </row>
    <row r="491" spans="1:2" x14ac:dyDescent="0.2">
      <c r="A491" s="76"/>
      <c r="B491" s="77"/>
    </row>
    <row r="492" spans="1:2" x14ac:dyDescent="0.2">
      <c r="A492" s="76"/>
      <c r="B492" s="77"/>
    </row>
    <row r="493" spans="1:2" x14ac:dyDescent="0.2">
      <c r="A493" s="76"/>
      <c r="B493" s="77"/>
    </row>
    <row r="494" spans="1:2" x14ac:dyDescent="0.2">
      <c r="A494" s="76"/>
      <c r="B494" s="77"/>
    </row>
    <row r="495" spans="1:2" x14ac:dyDescent="0.2">
      <c r="A495" s="76"/>
      <c r="B495" s="77"/>
    </row>
    <row r="496" spans="1:2" x14ac:dyDescent="0.2">
      <c r="A496" s="76"/>
      <c r="B496" s="77"/>
    </row>
    <row r="497" spans="1:2" x14ac:dyDescent="0.2">
      <c r="A497" s="76"/>
      <c r="B497" s="77"/>
    </row>
    <row r="498" spans="1:2" x14ac:dyDescent="0.2">
      <c r="A498" s="76"/>
      <c r="B498" s="77"/>
    </row>
    <row r="499" spans="1:2" x14ac:dyDescent="0.2">
      <c r="A499" s="76"/>
      <c r="B499" s="77"/>
    </row>
    <row r="500" spans="1:2" x14ac:dyDescent="0.2">
      <c r="A500" s="76"/>
      <c r="B500" s="77"/>
    </row>
    <row r="501" spans="1:2" x14ac:dyDescent="0.2">
      <c r="A501" s="76"/>
      <c r="B501" s="77"/>
    </row>
    <row r="502" spans="1:2" x14ac:dyDescent="0.2">
      <c r="A502" s="76"/>
      <c r="B502" s="77"/>
    </row>
    <row r="503" spans="1:2" x14ac:dyDescent="0.2">
      <c r="A503" s="76"/>
      <c r="B503" s="77"/>
    </row>
    <row r="504" spans="1:2" x14ac:dyDescent="0.2">
      <c r="A504" s="76"/>
      <c r="B504" s="77"/>
    </row>
    <row r="505" spans="1:2" x14ac:dyDescent="0.2">
      <c r="A505" s="76"/>
      <c r="B505" s="77"/>
    </row>
    <row r="506" spans="1:2" x14ac:dyDescent="0.2">
      <c r="A506" s="76"/>
      <c r="B506" s="77"/>
    </row>
    <row r="507" spans="1:2" x14ac:dyDescent="0.2">
      <c r="A507" s="76"/>
      <c r="B507" s="77"/>
    </row>
    <row r="508" spans="1:2" x14ac:dyDescent="0.2">
      <c r="A508" s="76"/>
      <c r="B508" s="77"/>
    </row>
    <row r="509" spans="1:2" x14ac:dyDescent="0.2">
      <c r="A509" s="76"/>
      <c r="B509" s="77"/>
    </row>
    <row r="510" spans="1:2" x14ac:dyDescent="0.2">
      <c r="A510" s="76"/>
      <c r="B510" s="77"/>
    </row>
    <row r="511" spans="1:2" x14ac:dyDescent="0.2">
      <c r="A511" s="76"/>
      <c r="B511" s="77"/>
    </row>
    <row r="512" spans="1:2" x14ac:dyDescent="0.2">
      <c r="A512" s="76"/>
      <c r="B512" s="77"/>
    </row>
    <row r="513" spans="1:2" x14ac:dyDescent="0.2">
      <c r="A513" s="76"/>
      <c r="B513" s="77"/>
    </row>
    <row r="514" spans="1:2" x14ac:dyDescent="0.2">
      <c r="A514" s="76"/>
      <c r="B514" s="77"/>
    </row>
    <row r="515" spans="1:2" x14ac:dyDescent="0.2">
      <c r="A515" s="76"/>
      <c r="B515" s="77"/>
    </row>
    <row r="516" spans="1:2" x14ac:dyDescent="0.2">
      <c r="A516" s="76"/>
      <c r="B516" s="77"/>
    </row>
    <row r="517" spans="1:2" x14ac:dyDescent="0.2">
      <c r="A517" s="76"/>
      <c r="B517" s="77"/>
    </row>
    <row r="518" spans="1:2" x14ac:dyDescent="0.2">
      <c r="A518" s="76"/>
      <c r="B518" s="77"/>
    </row>
    <row r="519" spans="1:2" x14ac:dyDescent="0.2">
      <c r="A519" s="76"/>
      <c r="B519" s="77"/>
    </row>
    <row r="520" spans="1:2" x14ac:dyDescent="0.2">
      <c r="A520" s="76"/>
      <c r="B520" s="77"/>
    </row>
    <row r="521" spans="1:2" x14ac:dyDescent="0.2">
      <c r="A521" s="76"/>
      <c r="B521" s="77"/>
    </row>
    <row r="522" spans="1:2" x14ac:dyDescent="0.2">
      <c r="A522" s="76"/>
      <c r="B522" s="77"/>
    </row>
    <row r="523" spans="1:2" x14ac:dyDescent="0.2">
      <c r="A523" s="76"/>
      <c r="B523" s="77"/>
    </row>
    <row r="524" spans="1:2" x14ac:dyDescent="0.2">
      <c r="A524" s="76"/>
      <c r="B524" s="77"/>
    </row>
    <row r="525" spans="1:2" x14ac:dyDescent="0.2">
      <c r="A525" s="76"/>
      <c r="B525" s="77"/>
    </row>
    <row r="526" spans="1:2" x14ac:dyDescent="0.2">
      <c r="A526" s="76"/>
      <c r="B526" s="77"/>
    </row>
    <row r="527" spans="1:2" x14ac:dyDescent="0.2">
      <c r="A527" s="76"/>
      <c r="B527" s="77"/>
    </row>
    <row r="528" spans="1:2" x14ac:dyDescent="0.2">
      <c r="A528" s="76"/>
      <c r="B528" s="77"/>
    </row>
    <row r="529" spans="1:2" x14ac:dyDescent="0.2">
      <c r="A529" s="76"/>
      <c r="B529" s="77"/>
    </row>
    <row r="530" spans="1:2" x14ac:dyDescent="0.2">
      <c r="A530" s="76"/>
      <c r="B530" s="77"/>
    </row>
    <row r="531" spans="1:2" x14ac:dyDescent="0.2">
      <c r="A531" s="76"/>
      <c r="B531" s="77"/>
    </row>
    <row r="532" spans="1:2" x14ac:dyDescent="0.2">
      <c r="A532" s="76"/>
      <c r="B532" s="77"/>
    </row>
    <row r="533" spans="1:2" x14ac:dyDescent="0.2">
      <c r="A533" s="76"/>
      <c r="B533" s="77"/>
    </row>
    <row r="534" spans="1:2" x14ac:dyDescent="0.2">
      <c r="A534" s="76"/>
      <c r="B534" s="77"/>
    </row>
    <row r="535" spans="1:2" x14ac:dyDescent="0.2">
      <c r="A535" s="76"/>
      <c r="B535" s="77"/>
    </row>
    <row r="536" spans="1:2" x14ac:dyDescent="0.2">
      <c r="A536" s="76"/>
      <c r="B536" s="77"/>
    </row>
    <row r="537" spans="1:2" x14ac:dyDescent="0.2">
      <c r="A537" s="76"/>
      <c r="B537" s="77"/>
    </row>
    <row r="538" spans="1:2" x14ac:dyDescent="0.2">
      <c r="A538" s="76"/>
      <c r="B538" s="77"/>
    </row>
    <row r="539" spans="1:2" x14ac:dyDescent="0.2">
      <c r="A539" s="76"/>
      <c r="B539" s="77"/>
    </row>
    <row r="540" spans="1:2" x14ac:dyDescent="0.2">
      <c r="A540" s="76"/>
      <c r="B540" s="77"/>
    </row>
    <row r="541" spans="1:2" x14ac:dyDescent="0.2">
      <c r="A541" s="76"/>
      <c r="B541" s="77"/>
    </row>
    <row r="542" spans="1:2" x14ac:dyDescent="0.2">
      <c r="A542" s="76"/>
      <c r="B542" s="77"/>
    </row>
    <row r="543" spans="1:2" x14ac:dyDescent="0.2">
      <c r="A543" s="76"/>
      <c r="B543" s="77"/>
    </row>
    <row r="544" spans="1:2" x14ac:dyDescent="0.2">
      <c r="A544" s="76"/>
      <c r="B544" s="77"/>
    </row>
    <row r="545" spans="1:2" x14ac:dyDescent="0.2">
      <c r="A545" s="76"/>
      <c r="B545" s="77"/>
    </row>
    <row r="546" spans="1:2" x14ac:dyDescent="0.2">
      <c r="A546" s="76"/>
      <c r="B546" s="77"/>
    </row>
    <row r="547" spans="1:2" x14ac:dyDescent="0.2">
      <c r="A547" s="76"/>
      <c r="B547" s="77"/>
    </row>
    <row r="548" spans="1:2" x14ac:dyDescent="0.2">
      <c r="A548" s="76"/>
      <c r="B548" s="77"/>
    </row>
    <row r="549" spans="1:2" x14ac:dyDescent="0.2">
      <c r="A549" s="76"/>
      <c r="B549" s="77"/>
    </row>
    <row r="550" spans="1:2" x14ac:dyDescent="0.2">
      <c r="A550" s="76"/>
      <c r="B550" s="77"/>
    </row>
    <row r="551" spans="1:2" x14ac:dyDescent="0.2">
      <c r="A551" s="76"/>
      <c r="B551" s="77"/>
    </row>
    <row r="552" spans="1:2" x14ac:dyDescent="0.2">
      <c r="A552" s="76"/>
      <c r="B552" s="77"/>
    </row>
    <row r="553" spans="1:2" x14ac:dyDescent="0.2">
      <c r="A553" s="76"/>
      <c r="B553" s="77"/>
    </row>
    <row r="554" spans="1:2" x14ac:dyDescent="0.2">
      <c r="A554" s="76"/>
      <c r="B554" s="77"/>
    </row>
    <row r="555" spans="1:2" x14ac:dyDescent="0.2">
      <c r="A555" s="76"/>
      <c r="B555" s="77"/>
    </row>
    <row r="556" spans="1:2" x14ac:dyDescent="0.2">
      <c r="A556" s="76"/>
      <c r="B556" s="77"/>
    </row>
    <row r="557" spans="1:2" x14ac:dyDescent="0.2">
      <c r="A557" s="76"/>
      <c r="B557" s="77"/>
    </row>
    <row r="558" spans="1:2" x14ac:dyDescent="0.2">
      <c r="A558" s="76"/>
      <c r="B558" s="77"/>
    </row>
    <row r="559" spans="1:2" x14ac:dyDescent="0.2">
      <c r="A559" s="76"/>
      <c r="B559" s="77"/>
    </row>
    <row r="560" spans="1:2" x14ac:dyDescent="0.2">
      <c r="A560" s="76"/>
      <c r="B560" s="77"/>
    </row>
    <row r="561" spans="1:2" x14ac:dyDescent="0.2">
      <c r="A561" s="76"/>
      <c r="B561" s="77"/>
    </row>
    <row r="562" spans="1:2" x14ac:dyDescent="0.2">
      <c r="A562" s="76"/>
      <c r="B562" s="77"/>
    </row>
    <row r="563" spans="1:2" x14ac:dyDescent="0.2">
      <c r="A563" s="76"/>
      <c r="B563" s="77"/>
    </row>
    <row r="564" spans="1:2" x14ac:dyDescent="0.2">
      <c r="A564" s="76"/>
      <c r="B564" s="77"/>
    </row>
    <row r="565" spans="1:2" x14ac:dyDescent="0.2">
      <c r="A565" s="76"/>
      <c r="B565" s="77"/>
    </row>
    <row r="566" spans="1:2" x14ac:dyDescent="0.2">
      <c r="A566" s="76"/>
      <c r="B566" s="77"/>
    </row>
    <row r="567" spans="1:2" x14ac:dyDescent="0.2">
      <c r="A567" s="76"/>
      <c r="B567" s="77"/>
    </row>
    <row r="568" spans="1:2" x14ac:dyDescent="0.2">
      <c r="A568" s="76"/>
      <c r="B568" s="77"/>
    </row>
    <row r="569" spans="1:2" x14ac:dyDescent="0.2">
      <c r="A569" s="76"/>
      <c r="B569" s="77"/>
    </row>
    <row r="570" spans="1:2" x14ac:dyDescent="0.2">
      <c r="A570" s="76"/>
      <c r="B570" s="77"/>
    </row>
    <row r="571" spans="1:2" x14ac:dyDescent="0.2">
      <c r="A571" s="76"/>
      <c r="B571" s="77"/>
    </row>
    <row r="572" spans="1:2" x14ac:dyDescent="0.2">
      <c r="A572" s="76"/>
      <c r="B572" s="77"/>
    </row>
    <row r="573" spans="1:2" x14ac:dyDescent="0.2">
      <c r="A573" s="76"/>
      <c r="B573" s="77"/>
    </row>
    <row r="574" spans="1:2" x14ac:dyDescent="0.2">
      <c r="A574" s="76"/>
      <c r="B574" s="77"/>
    </row>
    <row r="575" spans="1:2" x14ac:dyDescent="0.2">
      <c r="A575" s="76"/>
      <c r="B575" s="77"/>
    </row>
    <row r="576" spans="1:2" x14ac:dyDescent="0.2">
      <c r="A576" s="76"/>
      <c r="B576" s="77"/>
    </row>
    <row r="577" spans="1:2" x14ac:dyDescent="0.2">
      <c r="A577" s="76"/>
      <c r="B577" s="77"/>
    </row>
    <row r="578" spans="1:2" x14ac:dyDescent="0.2">
      <c r="A578" s="76"/>
      <c r="B578" s="77"/>
    </row>
    <row r="579" spans="1:2" x14ac:dyDescent="0.2">
      <c r="A579" s="76"/>
      <c r="B579" s="77"/>
    </row>
    <row r="580" spans="1:2" x14ac:dyDescent="0.2">
      <c r="A580" s="76"/>
      <c r="B580" s="77"/>
    </row>
    <row r="581" spans="1:2" x14ac:dyDescent="0.2">
      <c r="A581" s="76"/>
      <c r="B581" s="77"/>
    </row>
    <row r="582" spans="1:2" x14ac:dyDescent="0.2">
      <c r="A582" s="76"/>
      <c r="B582" s="77"/>
    </row>
    <row r="583" spans="1:2" x14ac:dyDescent="0.2">
      <c r="A583" s="76"/>
      <c r="B583" s="77"/>
    </row>
    <row r="584" spans="1:2" x14ac:dyDescent="0.2">
      <c r="A584" s="76"/>
      <c r="B584" s="77"/>
    </row>
    <row r="585" spans="1:2" x14ac:dyDescent="0.2">
      <c r="A585" s="76"/>
      <c r="B585" s="77"/>
    </row>
    <row r="586" spans="1:2" x14ac:dyDescent="0.2">
      <c r="A586" s="76"/>
      <c r="B586" s="77"/>
    </row>
    <row r="587" spans="1:2" x14ac:dyDescent="0.2">
      <c r="A587" s="76"/>
      <c r="B587" s="77"/>
    </row>
    <row r="588" spans="1:2" x14ac:dyDescent="0.2">
      <c r="A588" s="76"/>
      <c r="B588" s="77"/>
    </row>
    <row r="589" spans="1:2" x14ac:dyDescent="0.2">
      <c r="A589" s="76"/>
      <c r="B589" s="77"/>
    </row>
    <row r="590" spans="1:2" x14ac:dyDescent="0.2">
      <c r="A590" s="76"/>
      <c r="B590" s="77"/>
    </row>
    <row r="591" spans="1:2" x14ac:dyDescent="0.2">
      <c r="A591" s="76"/>
      <c r="B591" s="77"/>
    </row>
    <row r="592" spans="1:2" x14ac:dyDescent="0.2">
      <c r="A592" s="76"/>
      <c r="B592" s="77"/>
    </row>
    <row r="593" spans="1:2" x14ac:dyDescent="0.2">
      <c r="A593" s="76"/>
      <c r="B593" s="77"/>
    </row>
    <row r="594" spans="1:2" x14ac:dyDescent="0.2">
      <c r="A594" s="76"/>
      <c r="B594" s="77"/>
    </row>
    <row r="595" spans="1:2" x14ac:dyDescent="0.2">
      <c r="A595" s="76"/>
      <c r="B595" s="77"/>
    </row>
    <row r="596" spans="1:2" x14ac:dyDescent="0.2">
      <c r="A596" s="76"/>
      <c r="B596" s="77"/>
    </row>
    <row r="597" spans="1:2" x14ac:dyDescent="0.2">
      <c r="A597" s="76"/>
      <c r="B597" s="77"/>
    </row>
    <row r="598" spans="1:2" x14ac:dyDescent="0.2">
      <c r="A598" s="76"/>
      <c r="B598" s="77"/>
    </row>
    <row r="599" spans="1:2" x14ac:dyDescent="0.2">
      <c r="A599" s="76"/>
      <c r="B599" s="77"/>
    </row>
    <row r="600" spans="1:2" x14ac:dyDescent="0.2">
      <c r="A600" s="76"/>
      <c r="B600" s="77"/>
    </row>
    <row r="601" spans="1:2" x14ac:dyDescent="0.2">
      <c r="A601" s="76"/>
      <c r="B601" s="77"/>
    </row>
    <row r="602" spans="1:2" x14ac:dyDescent="0.2">
      <c r="A602" s="76"/>
      <c r="B602" s="77"/>
    </row>
    <row r="603" spans="1:2" x14ac:dyDescent="0.2">
      <c r="A603" s="76"/>
      <c r="B603" s="77"/>
    </row>
    <row r="604" spans="1:2" x14ac:dyDescent="0.2">
      <c r="A604" s="76"/>
      <c r="B604" s="77"/>
    </row>
    <row r="605" spans="1:2" x14ac:dyDescent="0.2">
      <c r="A605" s="76"/>
      <c r="B605" s="77"/>
    </row>
    <row r="606" spans="1:2" x14ac:dyDescent="0.2">
      <c r="A606" s="76"/>
      <c r="B606" s="77"/>
    </row>
    <row r="607" spans="1:2" x14ac:dyDescent="0.2">
      <c r="A607" s="76"/>
      <c r="B607" s="77"/>
    </row>
    <row r="608" spans="1:2" x14ac:dyDescent="0.2">
      <c r="A608" s="76"/>
      <c r="B608" s="77"/>
    </row>
    <row r="609" spans="1:2" x14ac:dyDescent="0.2">
      <c r="A609" s="76"/>
      <c r="B609" s="77"/>
    </row>
    <row r="610" spans="1:2" x14ac:dyDescent="0.2">
      <c r="A610" s="76"/>
      <c r="B610" s="77"/>
    </row>
    <row r="611" spans="1:2" x14ac:dyDescent="0.2">
      <c r="A611" s="76"/>
      <c r="B611" s="77"/>
    </row>
    <row r="612" spans="1:2" x14ac:dyDescent="0.2">
      <c r="A612" s="76"/>
      <c r="B612" s="77"/>
    </row>
    <row r="613" spans="1:2" x14ac:dyDescent="0.2">
      <c r="A613" s="76"/>
      <c r="B613" s="77"/>
    </row>
    <row r="614" spans="1:2" x14ac:dyDescent="0.2">
      <c r="A614" s="76"/>
      <c r="B614" s="77"/>
    </row>
    <row r="615" spans="1:2" x14ac:dyDescent="0.2">
      <c r="A615" s="76"/>
      <c r="B615" s="77"/>
    </row>
    <row r="616" spans="1:2" x14ac:dyDescent="0.2">
      <c r="A616" s="76"/>
      <c r="B616" s="77"/>
    </row>
    <row r="617" spans="1:2" x14ac:dyDescent="0.2">
      <c r="A617" s="76"/>
      <c r="B617" s="77"/>
    </row>
    <row r="618" spans="1:2" x14ac:dyDescent="0.2">
      <c r="A618" s="76"/>
      <c r="B618" s="77"/>
    </row>
    <row r="619" spans="1:2" x14ac:dyDescent="0.2">
      <c r="A619" s="76"/>
      <c r="B619" s="77"/>
    </row>
    <row r="620" spans="1:2" x14ac:dyDescent="0.2">
      <c r="A620" s="76"/>
      <c r="B620" s="77"/>
    </row>
    <row r="621" spans="1:2" x14ac:dyDescent="0.2">
      <c r="A621" s="76"/>
      <c r="B621" s="77"/>
    </row>
    <row r="622" spans="1:2" x14ac:dyDescent="0.2">
      <c r="A622" s="76"/>
      <c r="B622" s="77"/>
    </row>
    <row r="623" spans="1:2" x14ac:dyDescent="0.2">
      <c r="A623" s="76"/>
      <c r="B623" s="77"/>
    </row>
    <row r="624" spans="1:2" x14ac:dyDescent="0.2">
      <c r="A624" s="76"/>
      <c r="B624" s="77"/>
    </row>
    <row r="625" spans="1:2" x14ac:dyDescent="0.2">
      <c r="A625" s="76"/>
      <c r="B625" s="77"/>
    </row>
    <row r="626" spans="1:2" x14ac:dyDescent="0.2">
      <c r="A626" s="76"/>
      <c r="B626" s="77"/>
    </row>
    <row r="627" spans="1:2" x14ac:dyDescent="0.2">
      <c r="A627" s="76"/>
      <c r="B627" s="77"/>
    </row>
    <row r="628" spans="1:2" x14ac:dyDescent="0.2">
      <c r="A628" s="76"/>
      <c r="B628" s="77"/>
    </row>
    <row r="629" spans="1:2" x14ac:dyDescent="0.2">
      <c r="A629" s="76"/>
      <c r="B629" s="77"/>
    </row>
    <row r="630" spans="1:2" x14ac:dyDescent="0.2">
      <c r="A630" s="76"/>
      <c r="B630" s="77"/>
    </row>
    <row r="631" spans="1:2" x14ac:dyDescent="0.2">
      <c r="A631" s="76"/>
      <c r="B631" s="77"/>
    </row>
    <row r="632" spans="1:2" x14ac:dyDescent="0.2">
      <c r="A632" s="76"/>
      <c r="B632" s="77"/>
    </row>
    <row r="633" spans="1:2" x14ac:dyDescent="0.2">
      <c r="A633" s="76"/>
      <c r="B633" s="77"/>
    </row>
    <row r="634" spans="1:2" x14ac:dyDescent="0.2">
      <c r="A634" s="76"/>
      <c r="B634" s="77"/>
    </row>
    <row r="635" spans="1:2" x14ac:dyDescent="0.2">
      <c r="A635" s="76"/>
      <c r="B635" s="77"/>
    </row>
    <row r="636" spans="1:2" x14ac:dyDescent="0.2">
      <c r="A636" s="76"/>
      <c r="B636" s="77"/>
    </row>
    <row r="637" spans="1:2" x14ac:dyDescent="0.2">
      <c r="A637" s="76"/>
      <c r="B637" s="77"/>
    </row>
    <row r="638" spans="1:2" x14ac:dyDescent="0.2">
      <c r="A638" s="76"/>
      <c r="B638" s="77"/>
    </row>
    <row r="639" spans="1:2" x14ac:dyDescent="0.2">
      <c r="A639" s="76"/>
      <c r="B639" s="77"/>
    </row>
    <row r="640" spans="1:2" x14ac:dyDescent="0.2">
      <c r="A640" s="76"/>
      <c r="B640" s="77"/>
    </row>
    <row r="641" spans="1:2" x14ac:dyDescent="0.2">
      <c r="A641" s="76"/>
      <c r="B641" s="77"/>
    </row>
    <row r="642" spans="1:2" x14ac:dyDescent="0.2">
      <c r="A642" s="76"/>
      <c r="B642" s="77"/>
    </row>
    <row r="643" spans="1:2" x14ac:dyDescent="0.2">
      <c r="A643" s="76"/>
      <c r="B643" s="77"/>
    </row>
    <row r="644" spans="1:2" x14ac:dyDescent="0.2">
      <c r="A644" s="76"/>
      <c r="B644" s="77"/>
    </row>
    <row r="645" spans="1:2" x14ac:dyDescent="0.2">
      <c r="A645" s="76"/>
      <c r="B645" s="77"/>
    </row>
    <row r="646" spans="1:2" x14ac:dyDescent="0.2">
      <c r="A646" s="76"/>
      <c r="B646" s="77"/>
    </row>
    <row r="647" spans="1:2" x14ac:dyDescent="0.2">
      <c r="A647" s="76"/>
      <c r="B647" s="77"/>
    </row>
    <row r="648" spans="1:2" x14ac:dyDescent="0.2">
      <c r="A648" s="76"/>
      <c r="B648" s="77"/>
    </row>
    <row r="649" spans="1:2" x14ac:dyDescent="0.2">
      <c r="A649" s="76"/>
      <c r="B649" s="77"/>
    </row>
    <row r="650" spans="1:2" x14ac:dyDescent="0.2">
      <c r="A650" s="76"/>
      <c r="B650" s="77"/>
    </row>
    <row r="651" spans="1:2" x14ac:dyDescent="0.2">
      <c r="A651" s="76"/>
      <c r="B651" s="77"/>
    </row>
    <row r="652" spans="1:2" x14ac:dyDescent="0.2">
      <c r="A652" s="76"/>
      <c r="B652" s="77"/>
    </row>
    <row r="653" spans="1:2" x14ac:dyDescent="0.2">
      <c r="A653" s="76"/>
      <c r="B653" s="77"/>
    </row>
    <row r="654" spans="1:2" x14ac:dyDescent="0.2">
      <c r="A654" s="76"/>
      <c r="B654" s="77"/>
    </row>
    <row r="655" spans="1:2" x14ac:dyDescent="0.2">
      <c r="A655" s="76"/>
      <c r="B655" s="77"/>
    </row>
    <row r="656" spans="1:2" x14ac:dyDescent="0.2">
      <c r="A656" s="76"/>
      <c r="B656" s="77"/>
    </row>
    <row r="657" spans="1:2" x14ac:dyDescent="0.2">
      <c r="A657" s="76"/>
      <c r="B657" s="77"/>
    </row>
    <row r="658" spans="1:2" x14ac:dyDescent="0.2">
      <c r="A658" s="76"/>
      <c r="B658" s="77"/>
    </row>
    <row r="659" spans="1:2" x14ac:dyDescent="0.2">
      <c r="A659" s="76"/>
      <c r="B659" s="77"/>
    </row>
    <row r="660" spans="1:2" x14ac:dyDescent="0.2">
      <c r="A660" s="76"/>
      <c r="B660" s="77"/>
    </row>
    <row r="661" spans="1:2" x14ac:dyDescent="0.2">
      <c r="A661" s="76"/>
      <c r="B661" s="77"/>
    </row>
    <row r="662" spans="1:2" x14ac:dyDescent="0.2">
      <c r="A662" s="76"/>
      <c r="B662" s="77"/>
    </row>
    <row r="663" spans="1:2" x14ac:dyDescent="0.2">
      <c r="A663" s="76"/>
      <c r="B663" s="77"/>
    </row>
    <row r="664" spans="1:2" x14ac:dyDescent="0.2">
      <c r="A664" s="76"/>
      <c r="B664" s="77"/>
    </row>
    <row r="665" spans="1:2" x14ac:dyDescent="0.2">
      <c r="A665" s="76"/>
      <c r="B665" s="77"/>
    </row>
    <row r="666" spans="1:2" x14ac:dyDescent="0.2">
      <c r="A666" s="76"/>
      <c r="B666" s="77"/>
    </row>
    <row r="667" spans="1:2" x14ac:dyDescent="0.2">
      <c r="A667" s="76"/>
      <c r="B667" s="77"/>
    </row>
    <row r="668" spans="1:2" x14ac:dyDescent="0.2">
      <c r="A668" s="76"/>
      <c r="B668" s="77"/>
    </row>
    <row r="669" spans="1:2" x14ac:dyDescent="0.2">
      <c r="A669" s="76"/>
      <c r="B669" s="77"/>
    </row>
    <row r="670" spans="1:2" x14ac:dyDescent="0.2">
      <c r="A670" s="76"/>
      <c r="B670" s="77"/>
    </row>
    <row r="671" spans="1:2" x14ac:dyDescent="0.2">
      <c r="A671" s="76"/>
      <c r="B671" s="77"/>
    </row>
    <row r="672" spans="1:2" x14ac:dyDescent="0.2">
      <c r="A672" s="76"/>
      <c r="B672" s="77"/>
    </row>
    <row r="673" spans="1:2" x14ac:dyDescent="0.2">
      <c r="A673" s="76"/>
      <c r="B673" s="77"/>
    </row>
    <row r="674" spans="1:2" x14ac:dyDescent="0.2">
      <c r="A674" s="76"/>
      <c r="B674" s="77"/>
    </row>
    <row r="675" spans="1:2" x14ac:dyDescent="0.2">
      <c r="A675" s="76"/>
      <c r="B675" s="77"/>
    </row>
    <row r="676" spans="1:2" x14ac:dyDescent="0.2">
      <c r="A676" s="76"/>
      <c r="B676" s="77"/>
    </row>
    <row r="677" spans="1:2" x14ac:dyDescent="0.2">
      <c r="A677" s="76"/>
      <c r="B677" s="77"/>
    </row>
    <row r="678" spans="1:2" x14ac:dyDescent="0.2">
      <c r="A678" s="76"/>
      <c r="B678" s="77"/>
    </row>
    <row r="679" spans="1:2" x14ac:dyDescent="0.2">
      <c r="A679" s="76"/>
      <c r="B679" s="77"/>
    </row>
    <row r="680" spans="1:2" x14ac:dyDescent="0.2">
      <c r="A680" s="76"/>
      <c r="B680" s="77"/>
    </row>
    <row r="681" spans="1:2" x14ac:dyDescent="0.2">
      <c r="A681" s="76"/>
      <c r="B681" s="77"/>
    </row>
    <row r="682" spans="1:2" x14ac:dyDescent="0.2">
      <c r="A682" s="76"/>
      <c r="B682" s="77"/>
    </row>
    <row r="683" spans="1:2" x14ac:dyDescent="0.2">
      <c r="A683" s="76"/>
      <c r="B683" s="77"/>
    </row>
    <row r="684" spans="1:2" x14ac:dyDescent="0.2">
      <c r="A684" s="76"/>
      <c r="B684" s="77"/>
    </row>
    <row r="685" spans="1:2" x14ac:dyDescent="0.2">
      <c r="A685" s="76"/>
      <c r="B685" s="77"/>
    </row>
    <row r="686" spans="1:2" x14ac:dyDescent="0.2">
      <c r="A686" s="76"/>
      <c r="B686" s="77"/>
    </row>
    <row r="687" spans="1:2" x14ac:dyDescent="0.2">
      <c r="A687" s="76"/>
      <c r="B687" s="77"/>
    </row>
    <row r="688" spans="1:2" x14ac:dyDescent="0.2">
      <c r="A688" s="76"/>
      <c r="B688" s="77"/>
    </row>
    <row r="689" spans="1:2" x14ac:dyDescent="0.2">
      <c r="A689" s="76"/>
      <c r="B689" s="77"/>
    </row>
    <row r="690" spans="1:2" x14ac:dyDescent="0.2">
      <c r="A690" s="76"/>
      <c r="B690" s="77"/>
    </row>
    <row r="691" spans="1:2" x14ac:dyDescent="0.2">
      <c r="A691" s="76"/>
      <c r="B691" s="77"/>
    </row>
    <row r="692" spans="1:2" x14ac:dyDescent="0.2">
      <c r="A692" s="76"/>
      <c r="B692" s="77"/>
    </row>
    <row r="693" spans="1:2" x14ac:dyDescent="0.2">
      <c r="A693" s="76"/>
      <c r="B693" s="77"/>
    </row>
    <row r="694" spans="1:2" x14ac:dyDescent="0.2">
      <c r="A694" s="76"/>
      <c r="B694" s="77"/>
    </row>
    <row r="695" spans="1:2" x14ac:dyDescent="0.2">
      <c r="A695" s="76"/>
      <c r="B695" s="77"/>
    </row>
    <row r="696" spans="1:2" x14ac:dyDescent="0.2">
      <c r="A696" s="76"/>
      <c r="B696" s="77"/>
    </row>
    <row r="697" spans="1:2" x14ac:dyDescent="0.2">
      <c r="A697" s="76"/>
      <c r="B697" s="77"/>
    </row>
    <row r="698" spans="1:2" x14ac:dyDescent="0.2">
      <c r="A698" s="76"/>
      <c r="B698" s="77"/>
    </row>
    <row r="699" spans="1:2" x14ac:dyDescent="0.2">
      <c r="A699" s="76"/>
      <c r="B699" s="77"/>
    </row>
    <row r="700" spans="1:2" x14ac:dyDescent="0.2">
      <c r="A700" s="76"/>
      <c r="B700" s="77"/>
    </row>
    <row r="701" spans="1:2" x14ac:dyDescent="0.2">
      <c r="A701" s="76"/>
      <c r="B701" s="77"/>
    </row>
    <row r="702" spans="1:2" x14ac:dyDescent="0.2">
      <c r="A702" s="76"/>
      <c r="B702" s="77"/>
    </row>
    <row r="703" spans="1:2" x14ac:dyDescent="0.2">
      <c r="A703" s="76"/>
      <c r="B703" s="77"/>
    </row>
    <row r="704" spans="1:2" x14ac:dyDescent="0.2">
      <c r="A704" s="76"/>
      <c r="B704" s="77"/>
    </row>
    <row r="705" spans="1:2" x14ac:dyDescent="0.2">
      <c r="A705" s="76"/>
      <c r="B705" s="77"/>
    </row>
    <row r="706" spans="1:2" x14ac:dyDescent="0.2">
      <c r="A706" s="76"/>
      <c r="B706" s="77"/>
    </row>
    <row r="707" spans="1:2" x14ac:dyDescent="0.2">
      <c r="A707" s="76"/>
      <c r="B707" s="77"/>
    </row>
    <row r="708" spans="1:2" x14ac:dyDescent="0.2">
      <c r="A708" s="76"/>
      <c r="B708" s="77"/>
    </row>
    <row r="709" spans="1:2" x14ac:dyDescent="0.2">
      <c r="A709" s="76"/>
      <c r="B709" s="77"/>
    </row>
    <row r="710" spans="1:2" x14ac:dyDescent="0.2">
      <c r="A710" s="76"/>
      <c r="B710" s="77"/>
    </row>
    <row r="711" spans="1:2" x14ac:dyDescent="0.2">
      <c r="A711" s="76"/>
      <c r="B711" s="77"/>
    </row>
    <row r="712" spans="1:2" x14ac:dyDescent="0.2">
      <c r="A712" s="76"/>
      <c r="B712" s="77"/>
    </row>
    <row r="713" spans="1:2" x14ac:dyDescent="0.2">
      <c r="A713" s="76"/>
      <c r="B713" s="77"/>
    </row>
    <row r="714" spans="1:2" x14ac:dyDescent="0.2">
      <c r="A714" s="76"/>
      <c r="B714" s="77"/>
    </row>
    <row r="715" spans="1:2" x14ac:dyDescent="0.2">
      <c r="A715" s="76"/>
      <c r="B715" s="77"/>
    </row>
    <row r="716" spans="1:2" x14ac:dyDescent="0.2">
      <c r="A716" s="76"/>
      <c r="B716" s="77"/>
    </row>
    <row r="717" spans="1:2" x14ac:dyDescent="0.2">
      <c r="A717" s="76"/>
      <c r="B717" s="77"/>
    </row>
    <row r="718" spans="1:2" x14ac:dyDescent="0.2">
      <c r="A718" s="76"/>
      <c r="B718" s="77"/>
    </row>
    <row r="719" spans="1:2" x14ac:dyDescent="0.2">
      <c r="A719" s="76"/>
      <c r="B719" s="77"/>
    </row>
    <row r="720" spans="1:2" x14ac:dyDescent="0.2">
      <c r="A720" s="76"/>
      <c r="B720" s="77"/>
    </row>
    <row r="721" spans="1:2" x14ac:dyDescent="0.2">
      <c r="A721" s="76"/>
      <c r="B721" s="77"/>
    </row>
    <row r="722" spans="1:2" x14ac:dyDescent="0.2">
      <c r="A722" s="76"/>
      <c r="B722" s="77"/>
    </row>
    <row r="723" spans="1:2" x14ac:dyDescent="0.2">
      <c r="A723" s="76"/>
      <c r="B723" s="77"/>
    </row>
    <row r="724" spans="1:2" x14ac:dyDescent="0.2">
      <c r="A724" s="76"/>
      <c r="B724" s="77"/>
    </row>
    <row r="725" spans="1:2" x14ac:dyDescent="0.2">
      <c r="A725" s="76"/>
      <c r="B725" s="77"/>
    </row>
    <row r="726" spans="1:2" x14ac:dyDescent="0.2">
      <c r="A726" s="76"/>
      <c r="B726" s="77"/>
    </row>
    <row r="727" spans="1:2" x14ac:dyDescent="0.2">
      <c r="A727" s="76"/>
      <c r="B727" s="77"/>
    </row>
    <row r="728" spans="1:2" x14ac:dyDescent="0.2">
      <c r="A728" s="76"/>
      <c r="B728" s="77"/>
    </row>
    <row r="729" spans="1:2" x14ac:dyDescent="0.2">
      <c r="A729" s="76"/>
      <c r="B729" s="77"/>
    </row>
    <row r="730" spans="1:2" x14ac:dyDescent="0.2">
      <c r="A730" s="76"/>
      <c r="B730" s="77"/>
    </row>
    <row r="731" spans="1:2" x14ac:dyDescent="0.2">
      <c r="A731" s="76"/>
      <c r="B731" s="77"/>
    </row>
    <row r="732" spans="1:2" x14ac:dyDescent="0.2">
      <c r="A732" s="76"/>
      <c r="B732" s="77"/>
    </row>
    <row r="733" spans="1:2" x14ac:dyDescent="0.2">
      <c r="A733" s="76"/>
      <c r="B733" s="77"/>
    </row>
    <row r="734" spans="1:2" x14ac:dyDescent="0.2">
      <c r="A734" s="76"/>
      <c r="B734" s="77"/>
    </row>
    <row r="735" spans="1:2" x14ac:dyDescent="0.2">
      <c r="A735" s="76"/>
      <c r="B735" s="77"/>
    </row>
    <row r="736" spans="1:2" x14ac:dyDescent="0.2">
      <c r="A736" s="76"/>
      <c r="B736" s="77"/>
    </row>
    <row r="737" spans="1:2" x14ac:dyDescent="0.2">
      <c r="A737" s="76"/>
      <c r="B737" s="77"/>
    </row>
    <row r="738" spans="1:2" x14ac:dyDescent="0.2">
      <c r="A738" s="76"/>
      <c r="B738" s="77"/>
    </row>
    <row r="739" spans="1:2" x14ac:dyDescent="0.2">
      <c r="A739" s="76"/>
      <c r="B739" s="77"/>
    </row>
    <row r="740" spans="1:2" x14ac:dyDescent="0.2">
      <c r="A740" s="76"/>
      <c r="B740" s="77"/>
    </row>
    <row r="741" spans="1:2" x14ac:dyDescent="0.2">
      <c r="A741" s="76"/>
      <c r="B741" s="77"/>
    </row>
    <row r="742" spans="1:2" x14ac:dyDescent="0.2">
      <c r="A742" s="76"/>
      <c r="B742" s="77"/>
    </row>
    <row r="743" spans="1:2" x14ac:dyDescent="0.2">
      <c r="A743" s="76"/>
      <c r="B743" s="77"/>
    </row>
    <row r="744" spans="1:2" x14ac:dyDescent="0.2">
      <c r="A744" s="76"/>
      <c r="B744" s="77"/>
    </row>
    <row r="745" spans="1:2" x14ac:dyDescent="0.2">
      <c r="A745" s="76"/>
      <c r="B745" s="77"/>
    </row>
    <row r="746" spans="1:2" x14ac:dyDescent="0.2">
      <c r="A746" s="76"/>
      <c r="B746" s="77"/>
    </row>
    <row r="747" spans="1:2" x14ac:dyDescent="0.2">
      <c r="A747" s="76"/>
      <c r="B747" s="77"/>
    </row>
    <row r="748" spans="1:2" x14ac:dyDescent="0.2">
      <c r="A748" s="76"/>
      <c r="B748" s="77"/>
    </row>
    <row r="749" spans="1:2" x14ac:dyDescent="0.2">
      <c r="A749" s="76"/>
      <c r="B749" s="77"/>
    </row>
    <row r="750" spans="1:2" x14ac:dyDescent="0.2">
      <c r="A750" s="76"/>
      <c r="B750" s="77"/>
    </row>
    <row r="751" spans="1:2" x14ac:dyDescent="0.2">
      <c r="A751" s="76"/>
      <c r="B751" s="77"/>
    </row>
    <row r="752" spans="1:2" x14ac:dyDescent="0.2">
      <c r="A752" s="76"/>
      <c r="B752" s="77"/>
    </row>
    <row r="753" spans="1:2" x14ac:dyDescent="0.2">
      <c r="A753" s="76"/>
      <c r="B753" s="77"/>
    </row>
    <row r="754" spans="1:2" x14ac:dyDescent="0.2">
      <c r="A754" s="76"/>
      <c r="B754" s="77"/>
    </row>
    <row r="755" spans="1:2" x14ac:dyDescent="0.2">
      <c r="A755" s="76"/>
      <c r="B755" s="77"/>
    </row>
    <row r="756" spans="1:2" x14ac:dyDescent="0.2">
      <c r="A756" s="76"/>
      <c r="B756" s="77"/>
    </row>
    <row r="757" spans="1:2" x14ac:dyDescent="0.2">
      <c r="A757" s="76"/>
      <c r="B757" s="77"/>
    </row>
    <row r="758" spans="1:2" x14ac:dyDescent="0.2">
      <c r="A758" s="76"/>
      <c r="B758" s="77"/>
    </row>
    <row r="759" spans="1:2" x14ac:dyDescent="0.2">
      <c r="A759" s="76"/>
      <c r="B759" s="77"/>
    </row>
    <row r="760" spans="1:2" x14ac:dyDescent="0.2">
      <c r="A760" s="76"/>
      <c r="B760" s="77"/>
    </row>
    <row r="761" spans="1:2" x14ac:dyDescent="0.2">
      <c r="A761" s="76"/>
      <c r="B761" s="77"/>
    </row>
    <row r="762" spans="1:2" x14ac:dyDescent="0.2">
      <c r="A762" s="76"/>
      <c r="B762" s="77"/>
    </row>
    <row r="763" spans="1:2" x14ac:dyDescent="0.2">
      <c r="A763" s="76"/>
      <c r="B763" s="77"/>
    </row>
    <row r="764" spans="1:2" x14ac:dyDescent="0.2">
      <c r="A764" s="76"/>
      <c r="B764" s="77"/>
    </row>
    <row r="765" spans="1:2" x14ac:dyDescent="0.2">
      <c r="A765" s="76"/>
      <c r="B765" s="77"/>
    </row>
    <row r="766" spans="1:2" x14ac:dyDescent="0.2">
      <c r="A766" s="76"/>
      <c r="B766" s="77"/>
    </row>
    <row r="767" spans="1:2" x14ac:dyDescent="0.2">
      <c r="A767" s="76"/>
      <c r="B767" s="77"/>
    </row>
    <row r="768" spans="1:2" x14ac:dyDescent="0.2">
      <c r="A768" s="76"/>
      <c r="B768" s="77"/>
    </row>
    <row r="769" spans="1:2" x14ac:dyDescent="0.2">
      <c r="A769" s="76"/>
      <c r="B769" s="77"/>
    </row>
    <row r="770" spans="1:2" x14ac:dyDescent="0.2">
      <c r="A770" s="76"/>
      <c r="B770" s="77"/>
    </row>
    <row r="771" spans="1:2" x14ac:dyDescent="0.2">
      <c r="A771" s="76"/>
      <c r="B771" s="77"/>
    </row>
    <row r="772" spans="1:2" x14ac:dyDescent="0.2">
      <c r="A772" s="76"/>
      <c r="B772" s="77"/>
    </row>
    <row r="773" spans="1:2" x14ac:dyDescent="0.2">
      <c r="A773" s="76"/>
      <c r="B773" s="77"/>
    </row>
    <row r="774" spans="1:2" x14ac:dyDescent="0.2">
      <c r="A774" s="76"/>
      <c r="B774" s="77"/>
    </row>
    <row r="775" spans="1:2" x14ac:dyDescent="0.2">
      <c r="A775" s="76"/>
      <c r="B775" s="77"/>
    </row>
    <row r="776" spans="1:2" x14ac:dyDescent="0.2">
      <c r="A776" s="76"/>
      <c r="B776" s="77"/>
    </row>
    <row r="777" spans="1:2" x14ac:dyDescent="0.2">
      <c r="A777" s="76"/>
      <c r="B777" s="77"/>
    </row>
    <row r="778" spans="1:2" x14ac:dyDescent="0.2">
      <c r="A778" s="76"/>
      <c r="B778" s="77"/>
    </row>
    <row r="779" spans="1:2" x14ac:dyDescent="0.2">
      <c r="A779" s="76"/>
      <c r="B779" s="77"/>
    </row>
    <row r="780" spans="1:2" x14ac:dyDescent="0.2">
      <c r="A780" s="76"/>
      <c r="B780" s="77"/>
    </row>
    <row r="781" spans="1:2" x14ac:dyDescent="0.2">
      <c r="A781" s="76"/>
      <c r="B781" s="77"/>
    </row>
    <row r="782" spans="1:2" x14ac:dyDescent="0.2">
      <c r="A782" s="76"/>
      <c r="B782" s="77"/>
    </row>
    <row r="783" spans="1:2" x14ac:dyDescent="0.2">
      <c r="A783" s="76"/>
      <c r="B783" s="77"/>
    </row>
    <row r="784" spans="1:2" x14ac:dyDescent="0.2">
      <c r="A784" s="76"/>
      <c r="B784" s="77"/>
    </row>
    <row r="785" spans="1:2" x14ac:dyDescent="0.2">
      <c r="A785" s="76"/>
      <c r="B785" s="77"/>
    </row>
    <row r="786" spans="1:2" x14ac:dyDescent="0.2">
      <c r="A786" s="76"/>
      <c r="B786" s="77"/>
    </row>
    <row r="787" spans="1:2" x14ac:dyDescent="0.2">
      <c r="A787" s="76"/>
      <c r="B787" s="77"/>
    </row>
    <row r="788" spans="1:2" x14ac:dyDescent="0.2">
      <c r="A788" s="76"/>
      <c r="B788" s="77"/>
    </row>
    <row r="789" spans="1:2" x14ac:dyDescent="0.2">
      <c r="A789" s="76"/>
      <c r="B789" s="77"/>
    </row>
    <row r="790" spans="1:2" x14ac:dyDescent="0.2">
      <c r="A790" s="76"/>
      <c r="B790" s="77"/>
    </row>
    <row r="791" spans="1:2" x14ac:dyDescent="0.2">
      <c r="A791" s="76"/>
      <c r="B791" s="77"/>
    </row>
    <row r="792" spans="1:2" x14ac:dyDescent="0.2">
      <c r="A792" s="76"/>
      <c r="B792" s="77"/>
    </row>
    <row r="793" spans="1:2" x14ac:dyDescent="0.2">
      <c r="A793" s="76"/>
      <c r="B793" s="77"/>
    </row>
    <row r="794" spans="1:2" x14ac:dyDescent="0.2">
      <c r="A794" s="76"/>
      <c r="B794" s="77"/>
    </row>
    <row r="795" spans="1:2" x14ac:dyDescent="0.2">
      <c r="A795" s="76"/>
      <c r="B795" s="77"/>
    </row>
    <row r="796" spans="1:2" x14ac:dyDescent="0.2">
      <c r="A796" s="76"/>
      <c r="B796" s="77"/>
    </row>
    <row r="797" spans="1:2" x14ac:dyDescent="0.2">
      <c r="A797" s="76"/>
      <c r="B797" s="77"/>
    </row>
    <row r="798" spans="1:2" x14ac:dyDescent="0.2">
      <c r="A798" s="76"/>
      <c r="B798" s="77"/>
    </row>
    <row r="799" spans="1:2" x14ac:dyDescent="0.2">
      <c r="A799" s="76"/>
      <c r="B799" s="77"/>
    </row>
    <row r="800" spans="1:2" x14ac:dyDescent="0.2">
      <c r="A800" s="76"/>
      <c r="B800" s="77"/>
    </row>
    <row r="801" spans="1:2" x14ac:dyDescent="0.2">
      <c r="A801" s="76"/>
      <c r="B801" s="77"/>
    </row>
    <row r="802" spans="1:2" x14ac:dyDescent="0.2">
      <c r="A802" s="76"/>
      <c r="B802" s="77"/>
    </row>
    <row r="803" spans="1:2" x14ac:dyDescent="0.2">
      <c r="A803" s="76"/>
      <c r="B803" s="77"/>
    </row>
    <row r="804" spans="1:2" x14ac:dyDescent="0.2">
      <c r="A804" s="76"/>
      <c r="B804" s="77"/>
    </row>
    <row r="805" spans="1:2" x14ac:dyDescent="0.2">
      <c r="A805" s="76"/>
      <c r="B805" s="77"/>
    </row>
    <row r="806" spans="1:2" x14ac:dyDescent="0.2">
      <c r="A806" s="76"/>
      <c r="B806" s="77"/>
    </row>
    <row r="807" spans="1:2" x14ac:dyDescent="0.2">
      <c r="A807" s="76"/>
      <c r="B807" s="77"/>
    </row>
    <row r="808" spans="1:2" x14ac:dyDescent="0.2">
      <c r="A808" s="76"/>
      <c r="B808" s="77"/>
    </row>
    <row r="809" spans="1:2" x14ac:dyDescent="0.2">
      <c r="A809" s="76"/>
      <c r="B809" s="77"/>
    </row>
    <row r="810" spans="1:2" x14ac:dyDescent="0.2">
      <c r="A810" s="76"/>
      <c r="B810" s="77"/>
    </row>
    <row r="811" spans="1:2" x14ac:dyDescent="0.2">
      <c r="A811" s="76"/>
      <c r="B811" s="77"/>
    </row>
    <row r="812" spans="1:2" x14ac:dyDescent="0.2">
      <c r="A812" s="76"/>
      <c r="B812" s="77"/>
    </row>
    <row r="813" spans="1:2" x14ac:dyDescent="0.2">
      <c r="A813" s="76"/>
      <c r="B813" s="77"/>
    </row>
    <row r="814" spans="1:2" x14ac:dyDescent="0.2">
      <c r="A814" s="76"/>
      <c r="B814" s="77"/>
    </row>
    <row r="815" spans="1:2" x14ac:dyDescent="0.2">
      <c r="A815" s="76"/>
      <c r="B815" s="77"/>
    </row>
    <row r="816" spans="1:2" x14ac:dyDescent="0.2">
      <c r="A816" s="76"/>
      <c r="B816" s="77"/>
    </row>
    <row r="817" spans="1:2" x14ac:dyDescent="0.2">
      <c r="A817" s="76"/>
      <c r="B817" s="77"/>
    </row>
    <row r="818" spans="1:2" x14ac:dyDescent="0.2">
      <c r="A818" s="76"/>
      <c r="B818" s="77"/>
    </row>
    <row r="819" spans="1:2" x14ac:dyDescent="0.2">
      <c r="A819" s="76"/>
      <c r="B819" s="77"/>
    </row>
    <row r="820" spans="1:2" x14ac:dyDescent="0.2">
      <c r="A820" s="76"/>
      <c r="B820" s="77"/>
    </row>
    <row r="821" spans="1:2" x14ac:dyDescent="0.2">
      <c r="A821" s="76"/>
      <c r="B821" s="77"/>
    </row>
    <row r="822" spans="1:2" x14ac:dyDescent="0.2">
      <c r="A822" s="76"/>
      <c r="B822" s="77"/>
    </row>
    <row r="823" spans="1:2" x14ac:dyDescent="0.2">
      <c r="A823" s="76"/>
      <c r="B823" s="77"/>
    </row>
    <row r="824" spans="1:2" x14ac:dyDescent="0.2">
      <c r="A824" s="76"/>
      <c r="B824" s="77"/>
    </row>
    <row r="825" spans="1:2" x14ac:dyDescent="0.2">
      <c r="A825" s="76"/>
      <c r="B825" s="77"/>
    </row>
    <row r="826" spans="1:2" x14ac:dyDescent="0.2">
      <c r="A826" s="76"/>
      <c r="B826" s="77"/>
    </row>
    <row r="827" spans="1:2" x14ac:dyDescent="0.2">
      <c r="A827" s="76"/>
      <c r="B827" s="77"/>
    </row>
    <row r="828" spans="1:2" x14ac:dyDescent="0.2">
      <c r="A828" s="76"/>
      <c r="B828" s="77"/>
    </row>
    <row r="829" spans="1:2" x14ac:dyDescent="0.2">
      <c r="A829" s="76"/>
      <c r="B829" s="77"/>
    </row>
    <row r="830" spans="1:2" x14ac:dyDescent="0.2">
      <c r="A830" s="76"/>
      <c r="B830" s="77"/>
    </row>
    <row r="831" spans="1:2" x14ac:dyDescent="0.2">
      <c r="A831" s="76"/>
      <c r="B831" s="77"/>
    </row>
    <row r="832" spans="1:2" x14ac:dyDescent="0.2">
      <c r="A832" s="76"/>
      <c r="B832" s="77"/>
    </row>
    <row r="833" spans="1:2" x14ac:dyDescent="0.2">
      <c r="A833" s="76"/>
      <c r="B833" s="77"/>
    </row>
    <row r="834" spans="1:2" x14ac:dyDescent="0.2">
      <c r="A834" s="76"/>
      <c r="B834" s="77"/>
    </row>
    <row r="835" spans="1:2" x14ac:dyDescent="0.2">
      <c r="A835" s="76"/>
      <c r="B835" s="77"/>
    </row>
    <row r="836" spans="1:2" x14ac:dyDescent="0.2">
      <c r="A836" s="76"/>
      <c r="B836" s="77"/>
    </row>
    <row r="837" spans="1:2" x14ac:dyDescent="0.2">
      <c r="A837" s="76"/>
      <c r="B837" s="77"/>
    </row>
    <row r="838" spans="1:2" x14ac:dyDescent="0.2">
      <c r="A838" s="76"/>
      <c r="B838" s="77"/>
    </row>
    <row r="839" spans="1:2" x14ac:dyDescent="0.2">
      <c r="A839" s="76"/>
      <c r="B839" s="77"/>
    </row>
    <row r="840" spans="1:2" x14ac:dyDescent="0.2">
      <c r="A840" s="76"/>
      <c r="B840" s="77"/>
    </row>
    <row r="841" spans="1:2" x14ac:dyDescent="0.2">
      <c r="A841" s="76"/>
      <c r="B841" s="77"/>
    </row>
    <row r="842" spans="1:2" x14ac:dyDescent="0.2">
      <c r="A842" s="76"/>
      <c r="B842" s="77"/>
    </row>
    <row r="843" spans="1:2" x14ac:dyDescent="0.2">
      <c r="A843" s="76"/>
      <c r="B843" s="77"/>
    </row>
    <row r="844" spans="1:2" x14ac:dyDescent="0.2">
      <c r="A844" s="76"/>
      <c r="B844" s="77"/>
    </row>
    <row r="845" spans="1:2" x14ac:dyDescent="0.2">
      <c r="A845" s="76"/>
      <c r="B845" s="77"/>
    </row>
    <row r="846" spans="1:2" x14ac:dyDescent="0.2">
      <c r="A846" s="76"/>
      <c r="B846" s="77"/>
    </row>
    <row r="847" spans="1:2" x14ac:dyDescent="0.2">
      <c r="A847" s="76"/>
      <c r="B847" s="77"/>
    </row>
    <row r="848" spans="1:2" x14ac:dyDescent="0.2">
      <c r="A848" s="76"/>
      <c r="B848" s="77"/>
    </row>
    <row r="849" spans="1:2" x14ac:dyDescent="0.2">
      <c r="A849" s="76"/>
      <c r="B849" s="77"/>
    </row>
    <row r="850" spans="1:2" x14ac:dyDescent="0.2">
      <c r="A850" s="76"/>
      <c r="B850" s="77"/>
    </row>
    <row r="851" spans="1:2" x14ac:dyDescent="0.2">
      <c r="A851" s="76"/>
      <c r="B851" s="77"/>
    </row>
    <row r="852" spans="1:2" x14ac:dyDescent="0.2">
      <c r="A852" s="76"/>
      <c r="B852" s="77"/>
    </row>
    <row r="853" spans="1:2" x14ac:dyDescent="0.2">
      <c r="A853" s="76"/>
      <c r="B853" s="77"/>
    </row>
    <row r="854" spans="1:2" x14ac:dyDescent="0.2">
      <c r="A854" s="76"/>
      <c r="B854" s="77"/>
    </row>
    <row r="855" spans="1:2" x14ac:dyDescent="0.2">
      <c r="A855" s="76"/>
      <c r="B855" s="77"/>
    </row>
    <row r="856" spans="1:2" x14ac:dyDescent="0.2">
      <c r="A856" s="76"/>
      <c r="B856" s="77"/>
    </row>
    <row r="857" spans="1:2" x14ac:dyDescent="0.2">
      <c r="A857" s="76"/>
      <c r="B857" s="77"/>
    </row>
    <row r="858" spans="1:2" x14ac:dyDescent="0.2">
      <c r="A858" s="76"/>
      <c r="B858" s="77"/>
    </row>
    <row r="859" spans="1:2" x14ac:dyDescent="0.2">
      <c r="A859" s="76"/>
      <c r="B859" s="77"/>
    </row>
    <row r="860" spans="1:2" x14ac:dyDescent="0.2">
      <c r="A860" s="76"/>
      <c r="B860" s="77"/>
    </row>
    <row r="861" spans="1:2" x14ac:dyDescent="0.2">
      <c r="A861" s="76"/>
      <c r="B861" s="77"/>
    </row>
    <row r="862" spans="1:2" x14ac:dyDescent="0.2">
      <c r="A862" s="76"/>
      <c r="B862" s="77"/>
    </row>
    <row r="863" spans="1:2" x14ac:dyDescent="0.2">
      <c r="A863" s="76"/>
      <c r="B863" s="77"/>
    </row>
    <row r="864" spans="1:2" x14ac:dyDescent="0.2">
      <c r="A864" s="76"/>
      <c r="B864" s="77"/>
    </row>
    <row r="865" spans="1:2" x14ac:dyDescent="0.2">
      <c r="A865" s="76"/>
      <c r="B865" s="77"/>
    </row>
    <row r="866" spans="1:2" x14ac:dyDescent="0.2">
      <c r="A866" s="76"/>
      <c r="B866" s="77"/>
    </row>
    <row r="867" spans="1:2" x14ac:dyDescent="0.2">
      <c r="A867" s="76"/>
      <c r="B867" s="77"/>
    </row>
    <row r="868" spans="1:2" x14ac:dyDescent="0.2">
      <c r="A868" s="76"/>
      <c r="B868" s="77"/>
    </row>
    <row r="869" spans="1:2" x14ac:dyDescent="0.2">
      <c r="A869" s="76"/>
      <c r="B869" s="77"/>
    </row>
    <row r="870" spans="1:2" x14ac:dyDescent="0.2">
      <c r="A870" s="76"/>
      <c r="B870" s="77"/>
    </row>
    <row r="871" spans="1:2" x14ac:dyDescent="0.2">
      <c r="A871" s="76"/>
      <c r="B871" s="77"/>
    </row>
    <row r="872" spans="1:2" x14ac:dyDescent="0.2">
      <c r="A872" s="76"/>
      <c r="B872" s="77"/>
    </row>
    <row r="873" spans="1:2" x14ac:dyDescent="0.2">
      <c r="A873" s="76"/>
      <c r="B873" s="77"/>
    </row>
    <row r="874" spans="1:2" x14ac:dyDescent="0.2">
      <c r="A874" s="76"/>
      <c r="B874" s="77"/>
    </row>
    <row r="875" spans="1:2" x14ac:dyDescent="0.2">
      <c r="A875" s="76"/>
      <c r="B875" s="77"/>
    </row>
    <row r="876" spans="1:2" x14ac:dyDescent="0.2">
      <c r="A876" s="76"/>
      <c r="B876" s="77"/>
    </row>
    <row r="877" spans="1:2" x14ac:dyDescent="0.2">
      <c r="A877" s="76"/>
      <c r="B877" s="77"/>
    </row>
    <row r="878" spans="1:2" x14ac:dyDescent="0.2">
      <c r="A878" s="76"/>
      <c r="B878" s="77"/>
    </row>
    <row r="879" spans="1:2" x14ac:dyDescent="0.2">
      <c r="A879" s="76"/>
      <c r="B879" s="77"/>
    </row>
    <row r="880" spans="1:2" x14ac:dyDescent="0.2">
      <c r="A880" s="76"/>
      <c r="B880" s="77"/>
    </row>
    <row r="881" spans="1:2" x14ac:dyDescent="0.2">
      <c r="A881" s="76"/>
      <c r="B881" s="77"/>
    </row>
    <row r="882" spans="1:2" x14ac:dyDescent="0.2">
      <c r="A882" s="76"/>
      <c r="B882" s="77"/>
    </row>
    <row r="883" spans="1:2" x14ac:dyDescent="0.2">
      <c r="A883" s="76"/>
      <c r="B883" s="77"/>
    </row>
    <row r="884" spans="1:2" x14ac:dyDescent="0.2">
      <c r="A884" s="76"/>
      <c r="B884" s="77"/>
    </row>
    <row r="885" spans="1:2" x14ac:dyDescent="0.2">
      <c r="A885" s="76"/>
      <c r="B885" s="77"/>
    </row>
    <row r="886" spans="1:2" x14ac:dyDescent="0.2">
      <c r="A886" s="76"/>
      <c r="B886" s="77"/>
    </row>
    <row r="887" spans="1:2" x14ac:dyDescent="0.2">
      <c r="A887" s="76"/>
      <c r="B887" s="77"/>
    </row>
    <row r="888" spans="1:2" x14ac:dyDescent="0.2">
      <c r="A888" s="76"/>
      <c r="B888" s="77"/>
    </row>
    <row r="889" spans="1:2" x14ac:dyDescent="0.2">
      <c r="A889" s="76"/>
      <c r="B889" s="77"/>
    </row>
    <row r="890" spans="1:2" x14ac:dyDescent="0.2">
      <c r="A890" s="76"/>
      <c r="B890" s="77"/>
    </row>
    <row r="891" spans="1:2" x14ac:dyDescent="0.2">
      <c r="A891" s="76"/>
      <c r="B891" s="77"/>
    </row>
    <row r="892" spans="1:2" x14ac:dyDescent="0.2">
      <c r="A892" s="76"/>
      <c r="B892" s="77"/>
    </row>
    <row r="893" spans="1:2" x14ac:dyDescent="0.2">
      <c r="A893" s="76"/>
      <c r="B893" s="77"/>
    </row>
    <row r="894" spans="1:2" x14ac:dyDescent="0.2">
      <c r="A894" s="76"/>
      <c r="B894" s="77"/>
    </row>
    <row r="895" spans="1:2" x14ac:dyDescent="0.2">
      <c r="A895" s="76"/>
      <c r="B895" s="77"/>
    </row>
    <row r="896" spans="1:2" x14ac:dyDescent="0.2">
      <c r="A896" s="76"/>
      <c r="B896" s="77"/>
    </row>
    <row r="897" spans="1:2" x14ac:dyDescent="0.2">
      <c r="A897" s="76"/>
      <c r="B897" s="77"/>
    </row>
    <row r="898" spans="1:2" x14ac:dyDescent="0.2">
      <c r="A898" s="76"/>
      <c r="B898" s="77"/>
    </row>
    <row r="899" spans="1:2" x14ac:dyDescent="0.2">
      <c r="A899" s="76"/>
      <c r="B899" s="77"/>
    </row>
    <row r="900" spans="1:2" x14ac:dyDescent="0.2">
      <c r="A900" s="76"/>
      <c r="B900" s="77"/>
    </row>
    <row r="901" spans="1:2" x14ac:dyDescent="0.2">
      <c r="A901" s="76"/>
      <c r="B901" s="77"/>
    </row>
    <row r="902" spans="1:2" x14ac:dyDescent="0.2">
      <c r="A902" s="76"/>
      <c r="B902" s="77"/>
    </row>
    <row r="903" spans="1:2" x14ac:dyDescent="0.2">
      <c r="A903" s="76"/>
      <c r="B903" s="77"/>
    </row>
    <row r="904" spans="1:2" x14ac:dyDescent="0.2">
      <c r="A904" s="76"/>
      <c r="B904" s="77"/>
    </row>
    <row r="905" spans="1:2" x14ac:dyDescent="0.2">
      <c r="A905" s="76"/>
      <c r="B905" s="77"/>
    </row>
    <row r="906" spans="1:2" x14ac:dyDescent="0.2">
      <c r="A906" s="76"/>
      <c r="B906" s="77"/>
    </row>
    <row r="907" spans="1:2" x14ac:dyDescent="0.2">
      <c r="A907" s="76"/>
      <c r="B907" s="77"/>
    </row>
    <row r="908" spans="1:2" x14ac:dyDescent="0.2">
      <c r="A908" s="76"/>
      <c r="B908" s="77"/>
    </row>
    <row r="909" spans="1:2" x14ac:dyDescent="0.2">
      <c r="A909" s="76"/>
      <c r="B909" s="77"/>
    </row>
    <row r="910" spans="1:2" x14ac:dyDescent="0.2">
      <c r="A910" s="76"/>
      <c r="B910" s="77"/>
    </row>
    <row r="911" spans="1:2" x14ac:dyDescent="0.2">
      <c r="A911" s="76"/>
      <c r="B911" s="77"/>
    </row>
    <row r="912" spans="1:2" x14ac:dyDescent="0.2">
      <c r="A912" s="76"/>
      <c r="B912" s="77"/>
    </row>
    <row r="913" spans="1:2" x14ac:dyDescent="0.2">
      <c r="A913" s="76"/>
      <c r="B913" s="77"/>
    </row>
    <row r="914" spans="1:2" x14ac:dyDescent="0.2">
      <c r="A914" s="76"/>
      <c r="B914" s="77"/>
    </row>
    <row r="915" spans="1:2" x14ac:dyDescent="0.2">
      <c r="A915" s="76"/>
      <c r="B915" s="77"/>
    </row>
    <row r="916" spans="1:2" x14ac:dyDescent="0.2">
      <c r="A916" s="76"/>
      <c r="B916" s="77"/>
    </row>
    <row r="917" spans="1:2" x14ac:dyDescent="0.2">
      <c r="A917" s="76"/>
      <c r="B917" s="77"/>
    </row>
    <row r="918" spans="1:2" x14ac:dyDescent="0.2">
      <c r="A918" s="76"/>
      <c r="B918" s="77"/>
    </row>
    <row r="919" spans="1:2" x14ac:dyDescent="0.2">
      <c r="A919" s="76"/>
      <c r="B919" s="77"/>
    </row>
    <row r="920" spans="1:2" x14ac:dyDescent="0.2">
      <c r="A920" s="76"/>
      <c r="B920" s="77"/>
    </row>
    <row r="921" spans="1:2" x14ac:dyDescent="0.2">
      <c r="A921" s="76"/>
      <c r="B921" s="77"/>
    </row>
    <row r="922" spans="1:2" x14ac:dyDescent="0.2">
      <c r="A922" s="76"/>
      <c r="B922" s="77"/>
    </row>
    <row r="923" spans="1:2" x14ac:dyDescent="0.2">
      <c r="A923" s="76"/>
      <c r="B923" s="77"/>
    </row>
    <row r="924" spans="1:2" x14ac:dyDescent="0.2">
      <c r="A924" s="76"/>
      <c r="B924" s="77"/>
    </row>
    <row r="925" spans="1:2" x14ac:dyDescent="0.2">
      <c r="A925" s="76"/>
      <c r="B925" s="77"/>
    </row>
    <row r="926" spans="1:2" x14ac:dyDescent="0.2">
      <c r="A926" s="76"/>
      <c r="B926" s="77"/>
    </row>
    <row r="927" spans="1:2" x14ac:dyDescent="0.2">
      <c r="A927" s="76"/>
      <c r="B927" s="77"/>
    </row>
    <row r="928" spans="1:2" x14ac:dyDescent="0.2">
      <c r="A928" s="76"/>
      <c r="B928" s="77"/>
    </row>
    <row r="929" spans="1:2" x14ac:dyDescent="0.2">
      <c r="A929" s="76"/>
      <c r="B929" s="77"/>
    </row>
    <row r="930" spans="1:2" x14ac:dyDescent="0.2">
      <c r="A930" s="76"/>
      <c r="B930" s="77"/>
    </row>
    <row r="931" spans="1:2" x14ac:dyDescent="0.2">
      <c r="A931" s="76"/>
      <c r="B931" s="77"/>
    </row>
    <row r="932" spans="1:2" x14ac:dyDescent="0.2">
      <c r="A932" s="76"/>
      <c r="B932" s="77"/>
    </row>
    <row r="933" spans="1:2" x14ac:dyDescent="0.2">
      <c r="A933" s="76"/>
      <c r="B933" s="77"/>
    </row>
    <row r="934" spans="1:2" x14ac:dyDescent="0.2">
      <c r="A934" s="76"/>
      <c r="B934" s="77"/>
    </row>
    <row r="935" spans="1:2" x14ac:dyDescent="0.2">
      <c r="A935" s="76"/>
      <c r="B935" s="77"/>
    </row>
    <row r="936" spans="1:2" x14ac:dyDescent="0.2">
      <c r="A936" s="76"/>
      <c r="B936" s="77"/>
    </row>
    <row r="937" spans="1:2" x14ac:dyDescent="0.2">
      <c r="A937" s="76"/>
      <c r="B937" s="77"/>
    </row>
    <row r="938" spans="1:2" x14ac:dyDescent="0.2">
      <c r="A938" s="76"/>
      <c r="B938" s="77"/>
    </row>
    <row r="939" spans="1:2" x14ac:dyDescent="0.2">
      <c r="A939" s="76"/>
      <c r="B939" s="77"/>
    </row>
    <row r="940" spans="1:2" x14ac:dyDescent="0.2">
      <c r="A940" s="76"/>
      <c r="B940" s="77"/>
    </row>
    <row r="941" spans="1:2" x14ac:dyDescent="0.2">
      <c r="A941" s="76"/>
      <c r="B941" s="77"/>
    </row>
    <row r="942" spans="1:2" x14ac:dyDescent="0.2">
      <c r="A942" s="76"/>
      <c r="B942" s="77"/>
    </row>
    <row r="943" spans="1:2" x14ac:dyDescent="0.2">
      <c r="A943" s="76"/>
      <c r="B943" s="77"/>
    </row>
    <row r="944" spans="1:2" x14ac:dyDescent="0.2">
      <c r="A944" s="76"/>
      <c r="B944" s="77"/>
    </row>
    <row r="945" spans="1:2" x14ac:dyDescent="0.2">
      <c r="A945" s="76"/>
      <c r="B945" s="77"/>
    </row>
    <row r="946" spans="1:2" x14ac:dyDescent="0.2">
      <c r="A946" s="76"/>
      <c r="B946" s="77"/>
    </row>
    <row r="947" spans="1:2" x14ac:dyDescent="0.2">
      <c r="A947" s="76"/>
      <c r="B947" s="77"/>
    </row>
    <row r="948" spans="1:2" x14ac:dyDescent="0.2">
      <c r="A948" s="76"/>
      <c r="B948" s="77"/>
    </row>
    <row r="949" spans="1:2" x14ac:dyDescent="0.2">
      <c r="A949" s="76"/>
      <c r="B949" s="77"/>
    </row>
    <row r="950" spans="1:2" x14ac:dyDescent="0.2">
      <c r="A950" s="76"/>
      <c r="B950" s="77"/>
    </row>
    <row r="951" spans="1:2" x14ac:dyDescent="0.2">
      <c r="A951" s="76"/>
      <c r="B951" s="77"/>
    </row>
    <row r="952" spans="1:2" x14ac:dyDescent="0.2">
      <c r="A952" s="76"/>
      <c r="B952" s="77"/>
    </row>
    <row r="953" spans="1:2" x14ac:dyDescent="0.2">
      <c r="A953" s="76"/>
      <c r="B953" s="77"/>
    </row>
    <row r="954" spans="1:2" x14ac:dyDescent="0.2">
      <c r="A954" s="76"/>
      <c r="B954" s="77"/>
    </row>
    <row r="955" spans="1:2" x14ac:dyDescent="0.2">
      <c r="A955" s="76"/>
      <c r="B955" s="77"/>
    </row>
    <row r="956" spans="1:2" x14ac:dyDescent="0.2">
      <c r="A956" s="76"/>
      <c r="B956" s="77"/>
    </row>
    <row r="957" spans="1:2" x14ac:dyDescent="0.2">
      <c r="A957" s="76"/>
      <c r="B957" s="77"/>
    </row>
    <row r="958" spans="1:2" x14ac:dyDescent="0.2">
      <c r="A958" s="76"/>
      <c r="B958" s="77"/>
    </row>
    <row r="959" spans="1:2" x14ac:dyDescent="0.2">
      <c r="A959" s="76"/>
      <c r="B959" s="77"/>
    </row>
    <row r="960" spans="1:2" x14ac:dyDescent="0.2">
      <c r="A960" s="76"/>
      <c r="B960" s="77"/>
    </row>
    <row r="961" spans="1:2" x14ac:dyDescent="0.2">
      <c r="A961" s="76"/>
      <c r="B961" s="77"/>
    </row>
    <row r="962" spans="1:2" x14ac:dyDescent="0.2">
      <c r="A962" s="76"/>
      <c r="B962" s="77"/>
    </row>
    <row r="963" spans="1:2" x14ac:dyDescent="0.2">
      <c r="A963" s="76"/>
      <c r="B963" s="77"/>
    </row>
    <row r="964" spans="1:2" x14ac:dyDescent="0.2">
      <c r="A964" s="76"/>
      <c r="B964" s="77"/>
    </row>
    <row r="965" spans="1:2" x14ac:dyDescent="0.2">
      <c r="A965" s="76"/>
      <c r="B965" s="77"/>
    </row>
    <row r="966" spans="1:2" x14ac:dyDescent="0.2">
      <c r="A966" s="76"/>
      <c r="B966" s="77"/>
    </row>
    <row r="967" spans="1:2" x14ac:dyDescent="0.2">
      <c r="A967" s="76"/>
      <c r="B967" s="77"/>
    </row>
    <row r="968" spans="1:2" x14ac:dyDescent="0.2">
      <c r="A968" s="76"/>
      <c r="B968" s="77"/>
    </row>
    <row r="969" spans="1:2" x14ac:dyDescent="0.2">
      <c r="A969" s="76"/>
      <c r="B969" s="77"/>
    </row>
    <row r="970" spans="1:2" x14ac:dyDescent="0.2">
      <c r="A970" s="76"/>
      <c r="B970" s="77"/>
    </row>
    <row r="971" spans="1:2" x14ac:dyDescent="0.2">
      <c r="A971" s="76"/>
      <c r="B971" s="77"/>
    </row>
    <row r="972" spans="1:2" x14ac:dyDescent="0.2">
      <c r="A972" s="76"/>
      <c r="B972" s="77"/>
    </row>
    <row r="973" spans="1:2" x14ac:dyDescent="0.2">
      <c r="A973" s="76"/>
      <c r="B973" s="77"/>
    </row>
    <row r="974" spans="1:2" x14ac:dyDescent="0.2">
      <c r="A974" s="76"/>
      <c r="B974" s="77"/>
    </row>
    <row r="975" spans="1:2" x14ac:dyDescent="0.2">
      <c r="A975" s="76"/>
      <c r="B975" s="77"/>
    </row>
    <row r="976" spans="1:2" x14ac:dyDescent="0.2">
      <c r="A976" s="76"/>
      <c r="B976" s="77"/>
    </row>
    <row r="977" spans="1:2" x14ac:dyDescent="0.2">
      <c r="A977" s="76"/>
      <c r="B977" s="77"/>
    </row>
    <row r="978" spans="1:2" x14ac:dyDescent="0.2">
      <c r="A978" s="76"/>
      <c r="B978" s="77"/>
    </row>
    <row r="979" spans="1:2" x14ac:dyDescent="0.2">
      <c r="A979" s="76"/>
      <c r="B979" s="77"/>
    </row>
    <row r="980" spans="1:2" x14ac:dyDescent="0.2">
      <c r="A980" s="76"/>
      <c r="B980" s="77"/>
    </row>
    <row r="981" spans="1:2" x14ac:dyDescent="0.2">
      <c r="A981" s="76"/>
      <c r="B981" s="77"/>
    </row>
    <row r="982" spans="1:2" x14ac:dyDescent="0.2">
      <c r="A982" s="76"/>
      <c r="B982" s="77"/>
    </row>
    <row r="983" spans="1:2" x14ac:dyDescent="0.2">
      <c r="A983" s="76"/>
      <c r="B983" s="77"/>
    </row>
    <row r="984" spans="1:2" x14ac:dyDescent="0.2">
      <c r="A984" s="76"/>
      <c r="B984" s="77"/>
    </row>
    <row r="985" spans="1:2" x14ac:dyDescent="0.2">
      <c r="A985" s="76"/>
      <c r="B985" s="77"/>
    </row>
    <row r="986" spans="1:2" x14ac:dyDescent="0.2">
      <c r="A986" s="76"/>
      <c r="B986" s="77"/>
    </row>
    <row r="987" spans="1:2" x14ac:dyDescent="0.2">
      <c r="A987" s="76"/>
      <c r="B987" s="77"/>
    </row>
    <row r="988" spans="1:2" x14ac:dyDescent="0.2">
      <c r="A988" s="76"/>
      <c r="B988" s="77"/>
    </row>
    <row r="989" spans="1:2" x14ac:dyDescent="0.2">
      <c r="A989" s="76"/>
      <c r="B989" s="77"/>
    </row>
    <row r="990" spans="1:2" x14ac:dyDescent="0.2">
      <c r="A990" s="76"/>
      <c r="B990" s="77"/>
    </row>
    <row r="991" spans="1:2" x14ac:dyDescent="0.2">
      <c r="A991" s="76"/>
      <c r="B991" s="77"/>
    </row>
    <row r="992" spans="1:2" x14ac:dyDescent="0.2">
      <c r="A992" s="76"/>
      <c r="B992" s="77"/>
    </row>
    <row r="993" spans="1:2" x14ac:dyDescent="0.2">
      <c r="A993" s="76"/>
      <c r="B993" s="77"/>
    </row>
    <row r="994" spans="1:2" x14ac:dyDescent="0.2">
      <c r="A994" s="76"/>
      <c r="B994" s="77"/>
    </row>
    <row r="995" spans="1:2" x14ac:dyDescent="0.2">
      <c r="A995" s="76"/>
      <c r="B995" s="77"/>
    </row>
    <row r="996" spans="1:2" x14ac:dyDescent="0.2">
      <c r="A996" s="76"/>
      <c r="B996" s="77"/>
    </row>
    <row r="997" spans="1:2" x14ac:dyDescent="0.2">
      <c r="A997" s="76"/>
      <c r="B997" s="77"/>
    </row>
    <row r="998" spans="1:2" x14ac:dyDescent="0.2">
      <c r="A998" s="76"/>
      <c r="B998" s="77"/>
    </row>
    <row r="999" spans="1:2" x14ac:dyDescent="0.2">
      <c r="A999" s="76"/>
      <c r="B999" s="77"/>
    </row>
    <row r="1000" spans="1:2" x14ac:dyDescent="0.2">
      <c r="A1000" s="76"/>
      <c r="B1000" s="77"/>
    </row>
    <row r="1001" spans="1:2" x14ac:dyDescent="0.2">
      <c r="A1001" s="76"/>
      <c r="B1001" s="77"/>
    </row>
    <row r="1002" spans="1:2" x14ac:dyDescent="0.2">
      <c r="A1002" s="76"/>
      <c r="B1002" s="77"/>
    </row>
    <row r="1003" spans="1:2" x14ac:dyDescent="0.2">
      <c r="A1003" s="76"/>
      <c r="B1003" s="77"/>
    </row>
    <row r="1004" spans="1:2" x14ac:dyDescent="0.2">
      <c r="A1004" s="76"/>
      <c r="B1004" s="77"/>
    </row>
    <row r="1005" spans="1:2" x14ac:dyDescent="0.2">
      <c r="A1005" s="76"/>
      <c r="B1005" s="77"/>
    </row>
    <row r="1006" spans="1:2" x14ac:dyDescent="0.2">
      <c r="A1006" s="76"/>
      <c r="B1006" s="77"/>
    </row>
    <row r="1007" spans="1:2" x14ac:dyDescent="0.2">
      <c r="A1007" s="76"/>
      <c r="B1007" s="77"/>
    </row>
  </sheetData>
  <mergeCells count="9">
    <mergeCell ref="A5:C5"/>
    <mergeCell ref="K3:T6"/>
    <mergeCell ref="D4:D6"/>
    <mergeCell ref="H4:H6"/>
    <mergeCell ref="I4:I6"/>
    <mergeCell ref="F4:F6"/>
    <mergeCell ref="E5:E6"/>
    <mergeCell ref="G2:G6"/>
    <mergeCell ref="J3:J6"/>
  </mergeCells>
  <phoneticPr fontId="17" type="noConversion"/>
  <dataValidations count="5">
    <dataValidation type="list" allowBlank="1" showErrorMessage="1" sqref="D1" xr:uid="{89A5C45A-5144-4058-9A97-86D083C9C204}">
      <formula1>"Thang, Khoa, Dung, Cuong, none"</formula1>
    </dataValidation>
    <dataValidation type="list" allowBlank="1" showErrorMessage="1" sqref="D7" xr:uid="{53F98B7F-6C51-4A81-B47E-39B2D49B03B4}">
      <formula1>"Thang, Khoa, Dung, Cuong, None"</formula1>
    </dataValidation>
    <dataValidation type="list" allowBlank="1" showErrorMessage="1" sqref="E8:E43" xr:uid="{00000000-0002-0000-0200-000000000000}">
      <formula1>"Done,Ongoing,Not Started"</formula1>
    </dataValidation>
    <dataValidation type="list" allowBlank="1" showErrorMessage="1" sqref="B8:B43" xr:uid="{00000000-0002-0000-0200-000001000000}">
      <formula1>"PB01,PB08,PB02,PB09,PB03,PB10,PB04,PB25,PB26,PB11,B05,PB12,PB06,PB13,PB17,PB19,PB20"</formula1>
    </dataValidation>
    <dataValidation type="list" allowBlank="1" showErrorMessage="1" sqref="D8:D43" xr:uid="{00000000-0002-0000-0200-000002000000}">
      <formula1>"Khoa,Dung,Cuong,Thang,None"</formula1>
    </dataValidation>
  </dataValidations>
  <pageMargins left="0.75" right="0.75" top="0.75" bottom="0.75" header="0" footer="0"/>
  <pageSetup paperSize="8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ADB"/>
    <pageSetUpPr fitToPage="1"/>
  </sheetPr>
  <dimension ref="A1:AN243"/>
  <sheetViews>
    <sheetView showGridLines="0" topLeftCell="A56" zoomScale="55" zoomScaleNormal="55" workbookViewId="0">
      <selection activeCell="I115" sqref="I115"/>
    </sheetView>
  </sheetViews>
  <sheetFormatPr defaultColWidth="11.42578125" defaultRowHeight="16.5" x14ac:dyDescent="0.25"/>
  <cols>
    <col min="1" max="1" width="10" style="56" bestFit="1" customWidth="1"/>
    <col min="2" max="3" width="20.140625" style="56" bestFit="1" customWidth="1"/>
    <col min="4" max="4" width="8" style="56" bestFit="1" customWidth="1"/>
    <col min="5" max="5" width="12.85546875" style="56" bestFit="1" customWidth="1"/>
    <col min="6" max="6" width="9.7109375" style="56" bestFit="1" customWidth="1"/>
    <col min="7" max="7" width="12" style="56" customWidth="1"/>
    <col min="8" max="8" width="9" style="56" bestFit="1" customWidth="1"/>
    <col min="9" max="9" width="6.7109375" style="56" bestFit="1" customWidth="1"/>
    <col min="10" max="10" width="10" style="56" bestFit="1" customWidth="1"/>
    <col min="11" max="40" width="5" style="56" bestFit="1" customWidth="1"/>
    <col min="41" max="16384" width="11.42578125" style="56"/>
  </cols>
  <sheetData>
    <row r="1" spans="1:40" x14ac:dyDescent="0.25">
      <c r="A1" s="54"/>
      <c r="B1" s="55"/>
    </row>
    <row r="2" spans="1:40" x14ac:dyDescent="0.25">
      <c r="A2" s="54"/>
      <c r="B2" s="55"/>
      <c r="G2" s="173"/>
    </row>
    <row r="3" spans="1:40" x14ac:dyDescent="0.25">
      <c r="A3" s="54"/>
      <c r="B3" s="55"/>
      <c r="G3" s="174"/>
      <c r="J3" s="173"/>
      <c r="K3" s="173"/>
      <c r="L3" s="174"/>
      <c r="M3" s="174"/>
      <c r="N3" s="174"/>
      <c r="O3" s="174"/>
      <c r="P3" s="174"/>
      <c r="Q3" s="174"/>
      <c r="R3" s="174"/>
      <c r="S3" s="174"/>
      <c r="T3" s="174"/>
    </row>
    <row r="4" spans="1:40" ht="7.5" customHeight="1" x14ac:dyDescent="0.25">
      <c r="A4" s="54"/>
      <c r="B4" s="55"/>
      <c r="D4" s="176"/>
      <c r="F4" s="176"/>
      <c r="G4" s="174"/>
      <c r="H4" s="173"/>
      <c r="I4" s="173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5" spans="1:40" x14ac:dyDescent="0.25">
      <c r="A5" s="178" t="s">
        <v>96</v>
      </c>
      <c r="B5" s="174"/>
      <c r="D5" s="174"/>
      <c r="E5" s="177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</row>
    <row r="6" spans="1:40" x14ac:dyDescent="0.25">
      <c r="A6" s="87"/>
      <c r="B6" s="88"/>
      <c r="C6" s="74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</row>
    <row r="7" spans="1:40" ht="49.5" x14ac:dyDescent="0.25">
      <c r="A7" s="89" t="s">
        <v>59</v>
      </c>
      <c r="B7" s="89" t="s">
        <v>60</v>
      </c>
      <c r="C7" s="89" t="s">
        <v>10</v>
      </c>
      <c r="D7" s="89" t="s">
        <v>27</v>
      </c>
      <c r="E7" s="89" t="s">
        <v>13</v>
      </c>
      <c r="F7" s="90" t="s">
        <v>61</v>
      </c>
      <c r="G7" s="90" t="s">
        <v>19</v>
      </c>
      <c r="H7" s="90" t="s">
        <v>62</v>
      </c>
      <c r="I7" s="90" t="s">
        <v>63</v>
      </c>
      <c r="J7" s="90" t="s">
        <v>224</v>
      </c>
      <c r="K7" s="91" t="s">
        <v>65</v>
      </c>
      <c r="L7" s="91" t="s">
        <v>66</v>
      </c>
      <c r="M7" s="91" t="s">
        <v>67</v>
      </c>
      <c r="N7" s="91" t="s">
        <v>68</v>
      </c>
      <c r="O7" s="91" t="s">
        <v>69</v>
      </c>
      <c r="P7" s="91" t="s">
        <v>70</v>
      </c>
      <c r="Q7" s="91" t="s">
        <v>71</v>
      </c>
      <c r="R7" s="91" t="s">
        <v>72</v>
      </c>
      <c r="S7" s="91" t="s">
        <v>73</v>
      </c>
      <c r="T7" s="91" t="s">
        <v>74</v>
      </c>
      <c r="U7" s="91" t="s">
        <v>75</v>
      </c>
      <c r="V7" s="91" t="s">
        <v>76</v>
      </c>
      <c r="W7" s="91" t="s">
        <v>77</v>
      </c>
      <c r="X7" s="91" t="s">
        <v>78</v>
      </c>
      <c r="Y7" s="91" t="s">
        <v>79</v>
      </c>
      <c r="Z7" s="91" t="s">
        <v>80</v>
      </c>
      <c r="AA7" s="91" t="s">
        <v>81</v>
      </c>
      <c r="AB7" s="91" t="s">
        <v>82</v>
      </c>
      <c r="AC7" s="91" t="s">
        <v>83</v>
      </c>
      <c r="AD7" s="91" t="s">
        <v>84</v>
      </c>
      <c r="AE7" s="91" t="s">
        <v>85</v>
      </c>
      <c r="AF7" s="91" t="s">
        <v>100</v>
      </c>
      <c r="AG7" s="91" t="s">
        <v>101</v>
      </c>
      <c r="AH7" s="91" t="s">
        <v>102</v>
      </c>
      <c r="AI7" s="91" t="s">
        <v>103</v>
      </c>
      <c r="AJ7" s="91" t="s">
        <v>104</v>
      </c>
      <c r="AK7" s="91" t="s">
        <v>259</v>
      </c>
      <c r="AL7" s="91" t="s">
        <v>260</v>
      </c>
      <c r="AM7" s="91" t="s">
        <v>261</v>
      </c>
      <c r="AN7" s="91" t="s">
        <v>262</v>
      </c>
    </row>
    <row r="8" spans="1:40" x14ac:dyDescent="0.25">
      <c r="A8" s="36">
        <v>2.1</v>
      </c>
      <c r="B8" s="36" t="s">
        <v>31</v>
      </c>
      <c r="C8" s="37" t="s">
        <v>86</v>
      </c>
      <c r="D8" s="37" t="s">
        <v>177</v>
      </c>
      <c r="E8" s="38" t="s">
        <v>18</v>
      </c>
      <c r="F8" s="39">
        <v>5</v>
      </c>
      <c r="G8" s="39">
        <f>F8</f>
        <v>5</v>
      </c>
      <c r="H8" s="92">
        <f>F8-G8</f>
        <v>0</v>
      </c>
      <c r="I8" s="92">
        <v>4</v>
      </c>
      <c r="J8" s="92">
        <f t="shared" ref="J8:J39" si="0">SUM(I8-F8)</f>
        <v>-1</v>
      </c>
      <c r="K8" s="39"/>
      <c r="L8" s="39">
        <v>5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40"/>
      <c r="AG8" s="40"/>
      <c r="AH8" s="40"/>
      <c r="AI8" s="40"/>
      <c r="AJ8" s="40"/>
      <c r="AK8" s="40"/>
      <c r="AL8" s="40"/>
      <c r="AM8" s="40"/>
      <c r="AN8" s="40"/>
    </row>
    <row r="9" spans="1:40" ht="33" x14ac:dyDescent="0.25">
      <c r="A9" s="36">
        <v>2.2000000000000002</v>
      </c>
      <c r="B9" s="36" t="s">
        <v>31</v>
      </c>
      <c r="C9" s="37" t="s">
        <v>254</v>
      </c>
      <c r="D9" s="37" t="s">
        <v>92</v>
      </c>
      <c r="E9" s="38" t="s">
        <v>18</v>
      </c>
      <c r="F9" s="39">
        <v>5</v>
      </c>
      <c r="G9" s="39">
        <f t="shared" ref="G9:G72" si="1">F9</f>
        <v>5</v>
      </c>
      <c r="H9" s="92">
        <f t="shared" ref="H9:H72" si="2">F9-G9</f>
        <v>0</v>
      </c>
      <c r="I9" s="92">
        <v>7</v>
      </c>
      <c r="J9" s="92">
        <f t="shared" si="0"/>
        <v>2</v>
      </c>
      <c r="K9" s="39"/>
      <c r="L9" s="39"/>
      <c r="M9" s="39"/>
      <c r="N9" s="39"/>
      <c r="O9" s="39"/>
      <c r="P9" s="39"/>
      <c r="Q9" s="39"/>
      <c r="R9" s="39">
        <v>5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40"/>
      <c r="AG9" s="40"/>
      <c r="AH9" s="40"/>
      <c r="AI9" s="40"/>
      <c r="AJ9" s="40"/>
      <c r="AK9" s="40"/>
      <c r="AL9" s="40"/>
      <c r="AM9" s="40"/>
      <c r="AN9" s="40"/>
    </row>
    <row r="10" spans="1:40" x14ac:dyDescent="0.25">
      <c r="A10" s="36">
        <v>2.2999999999999998</v>
      </c>
      <c r="B10" s="36" t="s">
        <v>31</v>
      </c>
      <c r="C10" s="37" t="s">
        <v>255</v>
      </c>
      <c r="D10" s="37" t="s">
        <v>177</v>
      </c>
      <c r="E10" s="38" t="s">
        <v>18</v>
      </c>
      <c r="F10" s="39">
        <v>7</v>
      </c>
      <c r="G10" s="39">
        <f t="shared" si="1"/>
        <v>7</v>
      </c>
      <c r="H10" s="92">
        <f t="shared" si="2"/>
        <v>0</v>
      </c>
      <c r="I10" s="92">
        <v>7</v>
      </c>
      <c r="J10" s="92">
        <f t="shared" si="0"/>
        <v>0</v>
      </c>
      <c r="K10" s="39"/>
      <c r="L10" s="39"/>
      <c r="M10" s="39"/>
      <c r="N10" s="39">
        <v>7</v>
      </c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40"/>
      <c r="AG10" s="40"/>
      <c r="AH10" s="40"/>
      <c r="AI10" s="40"/>
      <c r="AJ10" s="40"/>
      <c r="AK10" s="40"/>
      <c r="AL10" s="40"/>
      <c r="AM10" s="40"/>
      <c r="AN10" s="40"/>
    </row>
    <row r="11" spans="1:40" x14ac:dyDescent="0.25">
      <c r="A11" s="36">
        <v>2.4</v>
      </c>
      <c r="B11" s="36" t="s">
        <v>31</v>
      </c>
      <c r="C11" s="37" t="s">
        <v>256</v>
      </c>
      <c r="D11" s="37" t="s">
        <v>177</v>
      </c>
      <c r="E11" s="38" t="s">
        <v>18</v>
      </c>
      <c r="F11" s="39">
        <v>7</v>
      </c>
      <c r="G11" s="39">
        <f t="shared" si="1"/>
        <v>7</v>
      </c>
      <c r="H11" s="92">
        <f t="shared" si="2"/>
        <v>0</v>
      </c>
      <c r="I11" s="92">
        <v>8</v>
      </c>
      <c r="J11" s="92">
        <f t="shared" si="0"/>
        <v>1</v>
      </c>
      <c r="K11" s="39"/>
      <c r="L11" s="39"/>
      <c r="M11" s="39"/>
      <c r="N11" s="39"/>
      <c r="O11" s="39">
        <v>7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40"/>
      <c r="AG11" s="40"/>
      <c r="AH11" s="40"/>
      <c r="AI11" s="40"/>
      <c r="AJ11" s="40"/>
      <c r="AK11" s="40"/>
      <c r="AL11" s="40"/>
      <c r="AM11" s="40"/>
      <c r="AN11" s="40"/>
    </row>
    <row r="12" spans="1:40" x14ac:dyDescent="0.25">
      <c r="A12" s="36">
        <v>2.5</v>
      </c>
      <c r="B12" s="36" t="s">
        <v>31</v>
      </c>
      <c r="C12" s="37" t="s">
        <v>88</v>
      </c>
      <c r="D12" s="37" t="s">
        <v>89</v>
      </c>
      <c r="E12" s="38" t="s">
        <v>90</v>
      </c>
      <c r="F12" s="39">
        <v>4</v>
      </c>
      <c r="G12" s="39"/>
      <c r="H12" s="92">
        <f t="shared" si="2"/>
        <v>4</v>
      </c>
      <c r="I12" s="92"/>
      <c r="J12" s="92">
        <f t="shared" si="0"/>
        <v>-4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40"/>
      <c r="AG12" s="40"/>
      <c r="AH12" s="40"/>
      <c r="AI12" s="40"/>
      <c r="AJ12" s="40"/>
      <c r="AK12" s="40"/>
      <c r="AL12" s="40"/>
      <c r="AM12" s="40"/>
      <c r="AN12" s="40"/>
    </row>
    <row r="13" spans="1:40" x14ac:dyDescent="0.25">
      <c r="A13" s="36">
        <v>2.6</v>
      </c>
      <c r="B13" s="36" t="s">
        <v>31</v>
      </c>
      <c r="C13" s="37" t="s">
        <v>91</v>
      </c>
      <c r="D13" s="37" t="s">
        <v>89</v>
      </c>
      <c r="E13" s="38" t="s">
        <v>90</v>
      </c>
      <c r="F13" s="39">
        <v>6</v>
      </c>
      <c r="G13" s="39"/>
      <c r="H13" s="92">
        <f t="shared" si="2"/>
        <v>6</v>
      </c>
      <c r="I13" s="92"/>
      <c r="J13" s="92">
        <f t="shared" si="0"/>
        <v>-6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40"/>
      <c r="AG13" s="40"/>
      <c r="AH13" s="40"/>
      <c r="AI13" s="40"/>
      <c r="AJ13" s="40"/>
      <c r="AK13" s="40"/>
      <c r="AL13" s="40"/>
      <c r="AM13" s="40"/>
      <c r="AN13" s="40"/>
    </row>
    <row r="14" spans="1:40" x14ac:dyDescent="0.25">
      <c r="A14" s="41">
        <v>2.7</v>
      </c>
      <c r="B14" s="41" t="s">
        <v>32</v>
      </c>
      <c r="C14" s="42" t="s">
        <v>86</v>
      </c>
      <c r="D14" s="42" t="s">
        <v>177</v>
      </c>
      <c r="E14" s="43" t="s">
        <v>18</v>
      </c>
      <c r="F14" s="39">
        <v>5</v>
      </c>
      <c r="G14" s="39">
        <f t="shared" si="1"/>
        <v>5</v>
      </c>
      <c r="H14" s="92">
        <f t="shared" si="2"/>
        <v>0</v>
      </c>
      <c r="I14" s="92">
        <v>5</v>
      </c>
      <c r="J14" s="92">
        <f t="shared" si="0"/>
        <v>0</v>
      </c>
      <c r="K14" s="39">
        <v>5</v>
      </c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40"/>
      <c r="AG14" s="40"/>
      <c r="AH14" s="40"/>
      <c r="AI14" s="40"/>
      <c r="AJ14" s="40"/>
      <c r="AK14" s="40"/>
      <c r="AL14" s="40"/>
      <c r="AM14" s="40"/>
      <c r="AN14" s="40"/>
    </row>
    <row r="15" spans="1:40" x14ac:dyDescent="0.25">
      <c r="A15" s="41">
        <v>2.8</v>
      </c>
      <c r="B15" s="41" t="s">
        <v>32</v>
      </c>
      <c r="C15" s="42" t="s">
        <v>254</v>
      </c>
      <c r="D15" s="42" t="s">
        <v>92</v>
      </c>
      <c r="E15" s="43" t="s">
        <v>18</v>
      </c>
      <c r="F15" s="39">
        <v>8</v>
      </c>
      <c r="G15" s="39">
        <f t="shared" si="1"/>
        <v>8</v>
      </c>
      <c r="H15" s="92">
        <f t="shared" si="2"/>
        <v>0</v>
      </c>
      <c r="I15" s="92">
        <v>7</v>
      </c>
      <c r="J15" s="92">
        <f t="shared" si="0"/>
        <v>-1</v>
      </c>
      <c r="K15" s="39"/>
      <c r="L15" s="39"/>
      <c r="M15" s="39"/>
      <c r="N15" s="39"/>
      <c r="O15" s="39"/>
      <c r="P15" s="39"/>
      <c r="Q15" s="39">
        <v>8</v>
      </c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40"/>
      <c r="AG15" s="40"/>
      <c r="AH15" s="40"/>
      <c r="AI15" s="40"/>
      <c r="AJ15" s="40"/>
      <c r="AK15" s="40"/>
      <c r="AL15" s="40"/>
      <c r="AM15" s="40"/>
      <c r="AN15" s="40"/>
    </row>
    <row r="16" spans="1:40" x14ac:dyDescent="0.25">
      <c r="A16" s="41">
        <v>2.9</v>
      </c>
      <c r="B16" s="41" t="s">
        <v>32</v>
      </c>
      <c r="C16" s="42" t="s">
        <v>255</v>
      </c>
      <c r="D16" s="42" t="s">
        <v>181</v>
      </c>
      <c r="E16" s="43" t="s">
        <v>18</v>
      </c>
      <c r="F16" s="39">
        <v>6</v>
      </c>
      <c r="G16" s="39">
        <f t="shared" si="1"/>
        <v>6</v>
      </c>
      <c r="H16" s="92">
        <f t="shared" si="2"/>
        <v>0</v>
      </c>
      <c r="I16" s="92">
        <v>6</v>
      </c>
      <c r="J16" s="92">
        <f t="shared" si="0"/>
        <v>0</v>
      </c>
      <c r="K16" s="39"/>
      <c r="L16" s="39"/>
      <c r="M16" s="39">
        <v>6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40"/>
      <c r="AG16" s="40"/>
      <c r="AH16" s="40"/>
      <c r="AI16" s="40"/>
      <c r="AJ16" s="40"/>
      <c r="AK16" s="40"/>
      <c r="AL16" s="40"/>
      <c r="AM16" s="40"/>
      <c r="AN16" s="40"/>
    </row>
    <row r="17" spans="1:40" x14ac:dyDescent="0.25">
      <c r="A17" s="41">
        <v>2.1</v>
      </c>
      <c r="B17" s="41" t="s">
        <v>32</v>
      </c>
      <c r="C17" s="42" t="s">
        <v>256</v>
      </c>
      <c r="D17" s="42" t="s">
        <v>181</v>
      </c>
      <c r="E17" s="43" t="s">
        <v>18</v>
      </c>
      <c r="F17" s="39">
        <v>8</v>
      </c>
      <c r="G17" s="39">
        <f t="shared" si="1"/>
        <v>8</v>
      </c>
      <c r="H17" s="92">
        <f t="shared" si="2"/>
        <v>0</v>
      </c>
      <c r="I17" s="92">
        <v>7</v>
      </c>
      <c r="J17" s="92">
        <f t="shared" si="0"/>
        <v>-1</v>
      </c>
      <c r="K17" s="39"/>
      <c r="L17" s="39"/>
      <c r="M17" s="39"/>
      <c r="N17" s="39"/>
      <c r="O17" s="39">
        <v>8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40"/>
      <c r="AG17" s="40"/>
      <c r="AH17" s="40"/>
      <c r="AI17" s="40"/>
      <c r="AJ17" s="40"/>
      <c r="AK17" s="40"/>
      <c r="AL17" s="40"/>
      <c r="AM17" s="40"/>
      <c r="AN17" s="40"/>
    </row>
    <row r="18" spans="1:40" x14ac:dyDescent="0.25">
      <c r="A18" s="41">
        <v>2.11</v>
      </c>
      <c r="B18" s="41" t="s">
        <v>32</v>
      </c>
      <c r="C18" s="42" t="s">
        <v>88</v>
      </c>
      <c r="D18" s="42" t="s">
        <v>89</v>
      </c>
      <c r="E18" s="43" t="s">
        <v>90</v>
      </c>
      <c r="F18" s="39">
        <v>4</v>
      </c>
      <c r="G18" s="39"/>
      <c r="H18" s="92">
        <f t="shared" si="2"/>
        <v>4</v>
      </c>
      <c r="I18" s="92"/>
      <c r="J18" s="92">
        <f t="shared" si="0"/>
        <v>-4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40"/>
      <c r="AG18" s="40"/>
      <c r="AH18" s="40"/>
      <c r="AI18" s="40"/>
      <c r="AJ18" s="40"/>
      <c r="AK18" s="40"/>
      <c r="AL18" s="40"/>
      <c r="AM18" s="40"/>
      <c r="AN18" s="40"/>
    </row>
    <row r="19" spans="1:40" x14ac:dyDescent="0.25">
      <c r="A19" s="41">
        <v>2.12</v>
      </c>
      <c r="B19" s="41" t="s">
        <v>32</v>
      </c>
      <c r="C19" s="42" t="s">
        <v>91</v>
      </c>
      <c r="D19" s="42" t="s">
        <v>89</v>
      </c>
      <c r="E19" s="43" t="s">
        <v>90</v>
      </c>
      <c r="F19" s="39">
        <v>7</v>
      </c>
      <c r="G19" s="39"/>
      <c r="H19" s="92">
        <f t="shared" si="2"/>
        <v>7</v>
      </c>
      <c r="I19" s="92"/>
      <c r="J19" s="92">
        <f t="shared" si="0"/>
        <v>-7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40"/>
      <c r="AG19" s="40"/>
      <c r="AH19" s="40"/>
      <c r="AI19" s="40"/>
      <c r="AJ19" s="40"/>
      <c r="AK19" s="40"/>
      <c r="AL19" s="40"/>
      <c r="AM19" s="40"/>
      <c r="AN19" s="40"/>
    </row>
    <row r="20" spans="1:40" x14ac:dyDescent="0.25">
      <c r="A20" s="44">
        <v>2.13</v>
      </c>
      <c r="B20" s="44" t="s">
        <v>33</v>
      </c>
      <c r="C20" s="45" t="s">
        <v>86</v>
      </c>
      <c r="D20" s="45" t="s">
        <v>181</v>
      </c>
      <c r="E20" s="43" t="s">
        <v>18</v>
      </c>
      <c r="F20" s="39">
        <v>4</v>
      </c>
      <c r="G20" s="39">
        <f t="shared" si="1"/>
        <v>4</v>
      </c>
      <c r="H20" s="92">
        <f t="shared" si="2"/>
        <v>0</v>
      </c>
      <c r="I20" s="92">
        <v>4</v>
      </c>
      <c r="J20" s="92">
        <f t="shared" si="0"/>
        <v>0</v>
      </c>
      <c r="K20" s="39">
        <v>4</v>
      </c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40"/>
      <c r="AG20" s="40"/>
      <c r="AH20" s="40"/>
      <c r="AI20" s="40"/>
      <c r="AJ20" s="40"/>
      <c r="AK20" s="40"/>
      <c r="AL20" s="40"/>
      <c r="AM20" s="40"/>
      <c r="AN20" s="40"/>
    </row>
    <row r="21" spans="1:40" x14ac:dyDescent="0.25">
      <c r="A21" s="44">
        <v>2.14</v>
      </c>
      <c r="B21" s="44" t="s">
        <v>33</v>
      </c>
      <c r="C21" s="45" t="s">
        <v>254</v>
      </c>
      <c r="D21" s="45" t="s">
        <v>92</v>
      </c>
      <c r="E21" s="43" t="s">
        <v>18</v>
      </c>
      <c r="F21" s="39">
        <v>7</v>
      </c>
      <c r="G21" s="39">
        <f t="shared" si="1"/>
        <v>7</v>
      </c>
      <c r="H21" s="92">
        <f t="shared" si="2"/>
        <v>0</v>
      </c>
      <c r="I21" s="92">
        <v>7</v>
      </c>
      <c r="J21" s="92">
        <f t="shared" si="0"/>
        <v>0</v>
      </c>
      <c r="K21" s="39"/>
      <c r="L21" s="39"/>
      <c r="M21" s="39"/>
      <c r="N21" s="39"/>
      <c r="O21" s="39"/>
      <c r="P21" s="39"/>
      <c r="Q21" s="39">
        <v>7</v>
      </c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40"/>
      <c r="AG21" s="40"/>
      <c r="AH21" s="40"/>
      <c r="AI21" s="40"/>
      <c r="AJ21" s="40"/>
      <c r="AK21" s="40"/>
      <c r="AL21" s="40"/>
      <c r="AM21" s="40"/>
      <c r="AN21" s="40"/>
    </row>
    <row r="22" spans="1:40" x14ac:dyDescent="0.25">
      <c r="A22" s="44">
        <v>2.15</v>
      </c>
      <c r="B22" s="44" t="s">
        <v>33</v>
      </c>
      <c r="C22" s="45" t="s">
        <v>255</v>
      </c>
      <c r="D22" s="45" t="s">
        <v>181</v>
      </c>
      <c r="E22" s="43" t="s">
        <v>18</v>
      </c>
      <c r="F22" s="39">
        <v>6</v>
      </c>
      <c r="G22" s="39">
        <f t="shared" si="1"/>
        <v>6</v>
      </c>
      <c r="H22" s="92">
        <f t="shared" si="2"/>
        <v>0</v>
      </c>
      <c r="I22" s="92">
        <v>7</v>
      </c>
      <c r="J22" s="92">
        <f t="shared" si="0"/>
        <v>1</v>
      </c>
      <c r="K22" s="39"/>
      <c r="L22" s="39"/>
      <c r="M22" s="39">
        <v>6</v>
      </c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40"/>
      <c r="AG22" s="40"/>
      <c r="AH22" s="40"/>
      <c r="AI22" s="40"/>
      <c r="AJ22" s="40"/>
      <c r="AK22" s="40"/>
      <c r="AL22" s="40"/>
      <c r="AM22" s="40"/>
      <c r="AN22" s="40"/>
    </row>
    <row r="23" spans="1:40" x14ac:dyDescent="0.25">
      <c r="A23" s="44">
        <v>2.16</v>
      </c>
      <c r="B23" s="44" t="s">
        <v>33</v>
      </c>
      <c r="C23" s="45" t="s">
        <v>256</v>
      </c>
      <c r="D23" s="45" t="s">
        <v>181</v>
      </c>
      <c r="E23" s="43" t="s">
        <v>18</v>
      </c>
      <c r="F23" s="39">
        <v>8</v>
      </c>
      <c r="G23" s="39">
        <f t="shared" si="1"/>
        <v>8</v>
      </c>
      <c r="H23" s="92">
        <f t="shared" si="2"/>
        <v>0</v>
      </c>
      <c r="I23" s="92">
        <v>9</v>
      </c>
      <c r="J23" s="92">
        <f t="shared" si="0"/>
        <v>1</v>
      </c>
      <c r="K23" s="39"/>
      <c r="L23" s="39"/>
      <c r="M23" s="39"/>
      <c r="N23" s="39"/>
      <c r="O23" s="39">
        <v>8</v>
      </c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40"/>
      <c r="AG23" s="40"/>
      <c r="AH23" s="40"/>
      <c r="AI23" s="40"/>
      <c r="AJ23" s="40"/>
      <c r="AK23" s="40"/>
      <c r="AL23" s="40"/>
      <c r="AM23" s="40"/>
      <c r="AN23" s="40"/>
    </row>
    <row r="24" spans="1:40" x14ac:dyDescent="0.25">
      <c r="A24" s="44">
        <v>2.17</v>
      </c>
      <c r="B24" s="44" t="s">
        <v>33</v>
      </c>
      <c r="C24" s="45" t="s">
        <v>88</v>
      </c>
      <c r="D24" s="45" t="s">
        <v>89</v>
      </c>
      <c r="E24" s="43" t="s">
        <v>90</v>
      </c>
      <c r="F24" s="39">
        <v>4</v>
      </c>
      <c r="G24" s="39"/>
      <c r="H24" s="92">
        <f t="shared" si="2"/>
        <v>4</v>
      </c>
      <c r="I24" s="92"/>
      <c r="J24" s="92">
        <f t="shared" si="0"/>
        <v>-4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40"/>
      <c r="AG24" s="40"/>
      <c r="AH24" s="40"/>
      <c r="AI24" s="40"/>
      <c r="AJ24" s="40"/>
      <c r="AK24" s="40"/>
      <c r="AL24" s="40"/>
      <c r="AM24" s="40"/>
      <c r="AN24" s="40"/>
    </row>
    <row r="25" spans="1:40" x14ac:dyDescent="0.25">
      <c r="A25" s="44">
        <v>2.1800000000000002</v>
      </c>
      <c r="B25" s="44" t="s">
        <v>33</v>
      </c>
      <c r="C25" s="45" t="s">
        <v>91</v>
      </c>
      <c r="D25" s="45" t="s">
        <v>89</v>
      </c>
      <c r="E25" s="43" t="s">
        <v>90</v>
      </c>
      <c r="F25" s="39">
        <v>7</v>
      </c>
      <c r="G25" s="39"/>
      <c r="H25" s="92">
        <f t="shared" si="2"/>
        <v>7</v>
      </c>
      <c r="I25" s="92"/>
      <c r="J25" s="92">
        <f t="shared" si="0"/>
        <v>-7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40"/>
      <c r="AG25" s="40"/>
      <c r="AH25" s="40"/>
      <c r="AI25" s="40"/>
      <c r="AJ25" s="40"/>
      <c r="AK25" s="40"/>
      <c r="AL25" s="40"/>
      <c r="AM25" s="40"/>
      <c r="AN25" s="40"/>
    </row>
    <row r="26" spans="1:40" x14ac:dyDescent="0.25">
      <c r="A26" s="41">
        <v>2.19</v>
      </c>
      <c r="B26" s="41" t="s">
        <v>34</v>
      </c>
      <c r="C26" s="42" t="s">
        <v>86</v>
      </c>
      <c r="D26" s="42" t="s">
        <v>177</v>
      </c>
      <c r="E26" s="43" t="s">
        <v>18</v>
      </c>
      <c r="F26" s="39">
        <v>4</v>
      </c>
      <c r="G26" s="39">
        <f t="shared" si="1"/>
        <v>4</v>
      </c>
      <c r="H26" s="92">
        <f t="shared" si="2"/>
        <v>0</v>
      </c>
      <c r="I26" s="92">
        <v>4</v>
      </c>
      <c r="J26" s="92">
        <f t="shared" si="0"/>
        <v>0</v>
      </c>
      <c r="K26" s="39"/>
      <c r="L26" s="39">
        <v>4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40"/>
      <c r="AG26" s="40"/>
      <c r="AH26" s="40"/>
      <c r="AI26" s="40"/>
      <c r="AJ26" s="40"/>
      <c r="AK26" s="40"/>
      <c r="AL26" s="40"/>
      <c r="AM26" s="40"/>
      <c r="AN26" s="40"/>
    </row>
    <row r="27" spans="1:40" x14ac:dyDescent="0.25">
      <c r="A27" s="41">
        <v>2.2000000000000002</v>
      </c>
      <c r="B27" s="41" t="s">
        <v>34</v>
      </c>
      <c r="C27" s="42" t="s">
        <v>254</v>
      </c>
      <c r="D27" s="42" t="s">
        <v>92</v>
      </c>
      <c r="E27" s="43" t="s">
        <v>18</v>
      </c>
      <c r="F27" s="39">
        <v>7</v>
      </c>
      <c r="G27" s="39">
        <f t="shared" si="1"/>
        <v>7</v>
      </c>
      <c r="H27" s="92">
        <f t="shared" si="2"/>
        <v>0</v>
      </c>
      <c r="I27" s="92">
        <v>7</v>
      </c>
      <c r="J27" s="92">
        <f t="shared" si="0"/>
        <v>0</v>
      </c>
      <c r="K27" s="39"/>
      <c r="L27" s="39"/>
      <c r="M27" s="39"/>
      <c r="N27" s="39"/>
      <c r="O27" s="39"/>
      <c r="P27" s="39"/>
      <c r="Q27" s="39"/>
      <c r="R27" s="39">
        <v>7</v>
      </c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40"/>
      <c r="AG27" s="40"/>
      <c r="AH27" s="40"/>
      <c r="AI27" s="40"/>
      <c r="AJ27" s="40"/>
      <c r="AK27" s="40"/>
      <c r="AL27" s="40"/>
      <c r="AM27" s="40"/>
      <c r="AN27" s="40"/>
    </row>
    <row r="28" spans="1:40" x14ac:dyDescent="0.25">
      <c r="A28" s="41">
        <v>2.21</v>
      </c>
      <c r="B28" s="41" t="s">
        <v>34</v>
      </c>
      <c r="C28" s="42" t="s">
        <v>255</v>
      </c>
      <c r="D28" s="42" t="s">
        <v>177</v>
      </c>
      <c r="E28" s="43" t="s">
        <v>18</v>
      </c>
      <c r="F28" s="39">
        <v>6</v>
      </c>
      <c r="G28" s="39">
        <f t="shared" si="1"/>
        <v>6</v>
      </c>
      <c r="H28" s="92">
        <f t="shared" si="2"/>
        <v>0</v>
      </c>
      <c r="I28" s="92">
        <v>6</v>
      </c>
      <c r="J28" s="92">
        <f t="shared" si="0"/>
        <v>0</v>
      </c>
      <c r="K28" s="39"/>
      <c r="L28" s="39"/>
      <c r="M28" s="39"/>
      <c r="N28" s="39">
        <v>6</v>
      </c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40"/>
      <c r="AG28" s="40"/>
      <c r="AH28" s="40"/>
      <c r="AI28" s="40"/>
      <c r="AJ28" s="40"/>
      <c r="AK28" s="40"/>
      <c r="AL28" s="40"/>
      <c r="AM28" s="40"/>
      <c r="AN28" s="40"/>
    </row>
    <row r="29" spans="1:40" x14ac:dyDescent="0.25">
      <c r="A29" s="41">
        <v>2.2200000000000002</v>
      </c>
      <c r="B29" s="41" t="s">
        <v>34</v>
      </c>
      <c r="C29" s="42" t="s">
        <v>256</v>
      </c>
      <c r="D29" s="42" t="s">
        <v>177</v>
      </c>
      <c r="E29" s="43" t="s">
        <v>18</v>
      </c>
      <c r="F29" s="39">
        <v>8</v>
      </c>
      <c r="G29" s="39">
        <f t="shared" si="1"/>
        <v>8</v>
      </c>
      <c r="H29" s="92">
        <f t="shared" si="2"/>
        <v>0</v>
      </c>
      <c r="I29" s="92">
        <v>8</v>
      </c>
      <c r="J29" s="92">
        <f t="shared" si="0"/>
        <v>0</v>
      </c>
      <c r="K29" s="39"/>
      <c r="L29" s="39"/>
      <c r="M29" s="39"/>
      <c r="N29" s="39"/>
      <c r="O29" s="39"/>
      <c r="P29" s="39">
        <v>8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40"/>
      <c r="AG29" s="40"/>
      <c r="AH29" s="40"/>
      <c r="AI29" s="40"/>
      <c r="AJ29" s="40"/>
      <c r="AK29" s="40"/>
      <c r="AL29" s="40"/>
      <c r="AM29" s="40"/>
      <c r="AN29" s="40"/>
    </row>
    <row r="30" spans="1:40" x14ac:dyDescent="0.25">
      <c r="A30" s="41">
        <v>2.23</v>
      </c>
      <c r="B30" s="41" t="s">
        <v>34</v>
      </c>
      <c r="C30" s="42" t="s">
        <v>88</v>
      </c>
      <c r="D30" s="42" t="s">
        <v>89</v>
      </c>
      <c r="E30" s="43" t="s">
        <v>90</v>
      </c>
      <c r="F30" s="39">
        <v>3</v>
      </c>
      <c r="G30" s="39"/>
      <c r="H30" s="92">
        <f t="shared" si="2"/>
        <v>3</v>
      </c>
      <c r="I30" s="92"/>
      <c r="J30" s="92">
        <f t="shared" si="0"/>
        <v>-3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x14ac:dyDescent="0.25">
      <c r="A31" s="41">
        <v>2.2400000000000002</v>
      </c>
      <c r="B31" s="41" t="s">
        <v>34</v>
      </c>
      <c r="C31" s="42" t="s">
        <v>91</v>
      </c>
      <c r="D31" s="42" t="s">
        <v>89</v>
      </c>
      <c r="E31" s="43" t="s">
        <v>90</v>
      </c>
      <c r="F31" s="39">
        <v>6</v>
      </c>
      <c r="G31" s="39"/>
      <c r="H31" s="92">
        <f t="shared" si="2"/>
        <v>6</v>
      </c>
      <c r="I31" s="92"/>
      <c r="J31" s="92">
        <f t="shared" si="0"/>
        <v>-6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25">
      <c r="A32" s="44">
        <v>2.25</v>
      </c>
      <c r="B32" s="44" t="s">
        <v>42</v>
      </c>
      <c r="C32" s="45" t="s">
        <v>86</v>
      </c>
      <c r="D32" s="45" t="s">
        <v>177</v>
      </c>
      <c r="E32" s="43" t="s">
        <v>18</v>
      </c>
      <c r="F32" s="39">
        <v>6</v>
      </c>
      <c r="G32" s="39">
        <f t="shared" si="1"/>
        <v>6</v>
      </c>
      <c r="H32" s="92">
        <f t="shared" si="2"/>
        <v>0</v>
      </c>
      <c r="I32" s="92">
        <v>5</v>
      </c>
      <c r="J32" s="92">
        <f t="shared" si="0"/>
        <v>-1</v>
      </c>
      <c r="K32" s="39">
        <v>6</v>
      </c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40" x14ac:dyDescent="0.25">
      <c r="A33" s="44">
        <v>2.2599999999999998</v>
      </c>
      <c r="B33" s="44" t="s">
        <v>42</v>
      </c>
      <c r="C33" s="45" t="s">
        <v>254</v>
      </c>
      <c r="D33" s="45" t="s">
        <v>92</v>
      </c>
      <c r="E33" s="43" t="s">
        <v>18</v>
      </c>
      <c r="F33" s="39">
        <v>6</v>
      </c>
      <c r="G33" s="39">
        <f t="shared" si="1"/>
        <v>6</v>
      </c>
      <c r="H33" s="92">
        <f t="shared" si="2"/>
        <v>0</v>
      </c>
      <c r="I33" s="92">
        <v>7</v>
      </c>
      <c r="J33" s="92">
        <f t="shared" si="0"/>
        <v>1</v>
      </c>
      <c r="K33" s="39"/>
      <c r="L33" s="39"/>
      <c r="M33" s="39"/>
      <c r="N33" s="39"/>
      <c r="O33" s="39"/>
      <c r="P33" s="39"/>
      <c r="Q33" s="39"/>
      <c r="R33" s="39">
        <v>6</v>
      </c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40"/>
      <c r="AG33" s="40"/>
      <c r="AH33" s="40"/>
      <c r="AI33" s="40"/>
      <c r="AJ33" s="40"/>
      <c r="AK33" s="40"/>
      <c r="AL33" s="40"/>
      <c r="AM33" s="40"/>
      <c r="AN33" s="40"/>
    </row>
    <row r="34" spans="1:40" x14ac:dyDescent="0.25">
      <c r="A34" s="44">
        <v>2.27</v>
      </c>
      <c r="B34" s="44" t="s">
        <v>42</v>
      </c>
      <c r="C34" s="45" t="s">
        <v>255</v>
      </c>
      <c r="D34" s="45" t="s">
        <v>177</v>
      </c>
      <c r="E34" s="43" t="s">
        <v>18</v>
      </c>
      <c r="F34" s="39">
        <v>8</v>
      </c>
      <c r="G34" s="39">
        <f t="shared" si="1"/>
        <v>8</v>
      </c>
      <c r="H34" s="92">
        <f t="shared" si="2"/>
        <v>0</v>
      </c>
      <c r="I34" s="92">
        <v>7</v>
      </c>
      <c r="J34" s="92">
        <f t="shared" si="0"/>
        <v>-1</v>
      </c>
      <c r="K34" s="39"/>
      <c r="L34" s="39"/>
      <c r="M34" s="39"/>
      <c r="N34" s="39">
        <v>8</v>
      </c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40"/>
      <c r="AG34" s="40"/>
      <c r="AH34" s="40"/>
      <c r="AI34" s="40"/>
      <c r="AJ34" s="40"/>
      <c r="AK34" s="40"/>
      <c r="AL34" s="40"/>
      <c r="AM34" s="40"/>
      <c r="AN34" s="40"/>
    </row>
    <row r="35" spans="1:40" x14ac:dyDescent="0.25">
      <c r="A35" s="44">
        <v>2.2799999999999998</v>
      </c>
      <c r="B35" s="44" t="s">
        <v>42</v>
      </c>
      <c r="C35" s="45" t="s">
        <v>256</v>
      </c>
      <c r="D35" s="45" t="s">
        <v>177</v>
      </c>
      <c r="E35" s="43" t="s">
        <v>18</v>
      </c>
      <c r="F35" s="39">
        <v>8</v>
      </c>
      <c r="G35" s="39">
        <f t="shared" si="1"/>
        <v>8</v>
      </c>
      <c r="H35" s="92">
        <f t="shared" si="2"/>
        <v>0</v>
      </c>
      <c r="I35" s="92">
        <v>7</v>
      </c>
      <c r="J35" s="92">
        <f t="shared" si="0"/>
        <v>-1</v>
      </c>
      <c r="K35" s="39"/>
      <c r="L35" s="39"/>
      <c r="M35" s="39"/>
      <c r="N35" s="39"/>
      <c r="O35" s="39"/>
      <c r="P35" s="39">
        <v>8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40"/>
      <c r="AG35" s="40"/>
      <c r="AH35" s="40"/>
      <c r="AI35" s="40"/>
      <c r="AJ35" s="40"/>
      <c r="AK35" s="40"/>
      <c r="AL35" s="40"/>
      <c r="AM35" s="40"/>
      <c r="AN35" s="40"/>
    </row>
    <row r="36" spans="1:40" x14ac:dyDescent="0.25">
      <c r="A36" s="44">
        <v>2.29</v>
      </c>
      <c r="B36" s="44" t="s">
        <v>42</v>
      </c>
      <c r="C36" s="45" t="s">
        <v>88</v>
      </c>
      <c r="D36" s="45" t="s">
        <v>89</v>
      </c>
      <c r="E36" s="43" t="s">
        <v>90</v>
      </c>
      <c r="F36" s="39">
        <v>4</v>
      </c>
      <c r="G36" s="39"/>
      <c r="H36" s="92">
        <f t="shared" si="2"/>
        <v>4</v>
      </c>
      <c r="I36" s="92"/>
      <c r="J36" s="92">
        <f t="shared" si="0"/>
        <v>-4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40"/>
      <c r="AG36" s="40"/>
      <c r="AH36" s="40"/>
      <c r="AI36" s="40"/>
      <c r="AJ36" s="40"/>
      <c r="AK36" s="40"/>
      <c r="AL36" s="40"/>
      <c r="AM36" s="40"/>
      <c r="AN36" s="40"/>
    </row>
    <row r="37" spans="1:40" x14ac:dyDescent="0.25">
      <c r="A37" s="44">
        <v>2.2999999999999998</v>
      </c>
      <c r="B37" s="44" t="s">
        <v>42</v>
      </c>
      <c r="C37" s="45" t="s">
        <v>91</v>
      </c>
      <c r="D37" s="45" t="s">
        <v>89</v>
      </c>
      <c r="E37" s="43" t="s">
        <v>90</v>
      </c>
      <c r="F37" s="39">
        <v>5</v>
      </c>
      <c r="G37" s="39"/>
      <c r="H37" s="92">
        <f t="shared" si="2"/>
        <v>5</v>
      </c>
      <c r="I37" s="92"/>
      <c r="J37" s="92">
        <f t="shared" si="0"/>
        <v>-5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40"/>
      <c r="AG37" s="40"/>
      <c r="AH37" s="40"/>
      <c r="AI37" s="40"/>
      <c r="AJ37" s="40"/>
      <c r="AK37" s="40"/>
      <c r="AL37" s="40"/>
      <c r="AM37" s="40"/>
      <c r="AN37" s="40"/>
    </row>
    <row r="38" spans="1:40" x14ac:dyDescent="0.25">
      <c r="A38" s="41">
        <v>2.31</v>
      </c>
      <c r="B38" s="41" t="s">
        <v>45</v>
      </c>
      <c r="C38" s="42" t="s">
        <v>86</v>
      </c>
      <c r="D38" s="42" t="s">
        <v>92</v>
      </c>
      <c r="E38" s="43" t="s">
        <v>18</v>
      </c>
      <c r="F38" s="39">
        <v>5</v>
      </c>
      <c r="G38" s="39">
        <f t="shared" si="1"/>
        <v>5</v>
      </c>
      <c r="H38" s="92">
        <f t="shared" si="2"/>
        <v>0</v>
      </c>
      <c r="I38" s="92">
        <v>3</v>
      </c>
      <c r="J38" s="92">
        <f t="shared" si="0"/>
        <v>-2</v>
      </c>
      <c r="K38" s="39">
        <v>5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40"/>
      <c r="AG38" s="40"/>
      <c r="AH38" s="40"/>
      <c r="AI38" s="40"/>
      <c r="AJ38" s="40"/>
      <c r="AK38" s="40"/>
      <c r="AL38" s="40"/>
      <c r="AM38" s="40"/>
      <c r="AN38" s="40"/>
    </row>
    <row r="39" spans="1:40" x14ac:dyDescent="0.25">
      <c r="A39" s="41">
        <v>2.3199999999999998</v>
      </c>
      <c r="B39" s="41" t="s">
        <v>45</v>
      </c>
      <c r="C39" s="42" t="s">
        <v>254</v>
      </c>
      <c r="D39" s="42" t="s">
        <v>182</v>
      </c>
      <c r="E39" s="43" t="s">
        <v>18</v>
      </c>
      <c r="F39" s="39">
        <v>8</v>
      </c>
      <c r="G39" s="39">
        <f t="shared" si="1"/>
        <v>8</v>
      </c>
      <c r="H39" s="92">
        <f t="shared" si="2"/>
        <v>0</v>
      </c>
      <c r="I39" s="92">
        <v>8</v>
      </c>
      <c r="J39" s="92">
        <f t="shared" si="0"/>
        <v>0</v>
      </c>
      <c r="K39" s="39"/>
      <c r="L39" s="39"/>
      <c r="M39" s="39"/>
      <c r="N39" s="39"/>
      <c r="O39" s="39"/>
      <c r="P39" s="39"/>
      <c r="Q39" s="39"/>
      <c r="R39" s="39"/>
      <c r="S39" s="39">
        <v>8</v>
      </c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40"/>
      <c r="AG39" s="40"/>
      <c r="AH39" s="40"/>
      <c r="AI39" s="40"/>
      <c r="AJ39" s="40"/>
      <c r="AK39" s="40"/>
      <c r="AL39" s="40"/>
      <c r="AM39" s="40"/>
      <c r="AN39" s="40"/>
    </row>
    <row r="40" spans="1:40" x14ac:dyDescent="0.25">
      <c r="A40" s="41">
        <v>2.33</v>
      </c>
      <c r="B40" s="41" t="s">
        <v>45</v>
      </c>
      <c r="C40" s="42" t="s">
        <v>255</v>
      </c>
      <c r="D40" s="42" t="s">
        <v>92</v>
      </c>
      <c r="E40" s="43" t="s">
        <v>18</v>
      </c>
      <c r="F40" s="39">
        <v>6</v>
      </c>
      <c r="G40" s="39">
        <f t="shared" si="1"/>
        <v>6</v>
      </c>
      <c r="H40" s="92">
        <f t="shared" si="2"/>
        <v>0</v>
      </c>
      <c r="I40" s="92">
        <v>7</v>
      </c>
      <c r="J40" s="92">
        <f t="shared" ref="J40:J71" si="3">SUM(I40-F40)</f>
        <v>1</v>
      </c>
      <c r="K40" s="39"/>
      <c r="L40" s="39"/>
      <c r="M40" s="39"/>
      <c r="N40" s="39">
        <v>6</v>
      </c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40"/>
      <c r="AG40" s="40"/>
      <c r="AH40" s="40"/>
      <c r="AI40" s="40"/>
      <c r="AJ40" s="40"/>
      <c r="AK40" s="40"/>
      <c r="AL40" s="40"/>
      <c r="AM40" s="40"/>
      <c r="AN40" s="40"/>
    </row>
    <row r="41" spans="1:40" x14ac:dyDescent="0.25">
      <c r="A41" s="41">
        <v>2.34</v>
      </c>
      <c r="B41" s="41" t="s">
        <v>45</v>
      </c>
      <c r="C41" s="42" t="s">
        <v>256</v>
      </c>
      <c r="D41" s="42" t="s">
        <v>182</v>
      </c>
      <c r="E41" s="43" t="s">
        <v>18</v>
      </c>
      <c r="F41" s="39">
        <v>8</v>
      </c>
      <c r="G41" s="39">
        <f t="shared" si="1"/>
        <v>8</v>
      </c>
      <c r="H41" s="92">
        <f t="shared" si="2"/>
        <v>0</v>
      </c>
      <c r="I41" s="92">
        <v>7</v>
      </c>
      <c r="J41" s="92">
        <f t="shared" si="3"/>
        <v>-1</v>
      </c>
      <c r="K41" s="39"/>
      <c r="L41" s="39"/>
      <c r="M41" s="39"/>
      <c r="N41" s="39"/>
      <c r="O41" s="39"/>
      <c r="P41" s="39">
        <v>8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40"/>
      <c r="AG41" s="40"/>
      <c r="AH41" s="40"/>
      <c r="AI41" s="40"/>
      <c r="AJ41" s="40"/>
      <c r="AK41" s="40"/>
      <c r="AL41" s="40"/>
      <c r="AM41" s="40"/>
      <c r="AN41" s="40"/>
    </row>
    <row r="42" spans="1:40" x14ac:dyDescent="0.25">
      <c r="A42" s="41">
        <v>2.35</v>
      </c>
      <c r="B42" s="41" t="s">
        <v>45</v>
      </c>
      <c r="C42" s="42" t="s">
        <v>88</v>
      </c>
      <c r="D42" s="42" t="s">
        <v>182</v>
      </c>
      <c r="E42" s="43" t="s">
        <v>18</v>
      </c>
      <c r="F42" s="39">
        <v>4</v>
      </c>
      <c r="G42" s="39">
        <f t="shared" si="1"/>
        <v>4</v>
      </c>
      <c r="H42" s="92">
        <f t="shared" si="2"/>
        <v>0</v>
      </c>
      <c r="I42" s="92">
        <v>5</v>
      </c>
      <c r="J42" s="92">
        <f t="shared" si="3"/>
        <v>1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>
        <v>4</v>
      </c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40"/>
      <c r="AG42" s="40"/>
      <c r="AH42" s="40"/>
      <c r="AI42" s="40"/>
      <c r="AJ42" s="40"/>
      <c r="AK42" s="40"/>
      <c r="AL42" s="40"/>
      <c r="AM42" s="40"/>
      <c r="AN42" s="40"/>
    </row>
    <row r="43" spans="1:40" x14ac:dyDescent="0.25">
      <c r="A43" s="41">
        <v>2.36</v>
      </c>
      <c r="B43" s="41" t="s">
        <v>45</v>
      </c>
      <c r="C43" s="42" t="s">
        <v>91</v>
      </c>
      <c r="D43" s="42" t="s">
        <v>182</v>
      </c>
      <c r="E43" s="43" t="s">
        <v>18</v>
      </c>
      <c r="F43" s="39">
        <v>6</v>
      </c>
      <c r="G43" s="39">
        <f t="shared" si="1"/>
        <v>6</v>
      </c>
      <c r="H43" s="92">
        <f t="shared" si="2"/>
        <v>0</v>
      </c>
      <c r="I43" s="92">
        <v>7</v>
      </c>
      <c r="J43" s="92">
        <f t="shared" si="3"/>
        <v>1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>
        <v>6</v>
      </c>
      <c r="W43" s="39"/>
      <c r="X43" s="39"/>
      <c r="Y43" s="39"/>
      <c r="Z43" s="39"/>
      <c r="AA43" s="39"/>
      <c r="AB43" s="39"/>
      <c r="AC43" s="39"/>
      <c r="AD43" s="39"/>
      <c r="AE43" s="39"/>
      <c r="AF43" s="40"/>
      <c r="AG43" s="40"/>
      <c r="AH43" s="40"/>
      <c r="AI43" s="40"/>
      <c r="AJ43" s="40"/>
      <c r="AK43" s="40"/>
      <c r="AL43" s="40"/>
      <c r="AM43" s="40"/>
      <c r="AN43" s="40"/>
    </row>
    <row r="44" spans="1:40" x14ac:dyDescent="0.25">
      <c r="A44" s="44">
        <v>2.37</v>
      </c>
      <c r="B44" s="44" t="s">
        <v>46</v>
      </c>
      <c r="C44" s="45" t="s">
        <v>86</v>
      </c>
      <c r="D44" s="45" t="s">
        <v>92</v>
      </c>
      <c r="E44" s="43" t="s">
        <v>18</v>
      </c>
      <c r="F44" s="39">
        <v>6</v>
      </c>
      <c r="G44" s="39">
        <f t="shared" si="1"/>
        <v>6</v>
      </c>
      <c r="H44" s="92">
        <f t="shared" si="2"/>
        <v>0</v>
      </c>
      <c r="I44" s="92">
        <v>7</v>
      </c>
      <c r="J44" s="92">
        <f t="shared" si="3"/>
        <v>1</v>
      </c>
      <c r="K44" s="39"/>
      <c r="L44" s="39">
        <v>6</v>
      </c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40"/>
      <c r="AG44" s="40"/>
      <c r="AH44" s="40"/>
      <c r="AI44" s="40"/>
      <c r="AJ44" s="40"/>
      <c r="AK44" s="40"/>
      <c r="AL44" s="40"/>
      <c r="AM44" s="40"/>
      <c r="AN44" s="40"/>
    </row>
    <row r="45" spans="1:40" x14ac:dyDescent="0.25">
      <c r="A45" s="44">
        <v>2.38</v>
      </c>
      <c r="B45" s="44" t="s">
        <v>46</v>
      </c>
      <c r="C45" s="45" t="s">
        <v>254</v>
      </c>
      <c r="D45" s="45" t="s">
        <v>92</v>
      </c>
      <c r="E45" s="43" t="s">
        <v>18</v>
      </c>
      <c r="F45" s="39">
        <v>9</v>
      </c>
      <c r="G45" s="39">
        <f t="shared" si="1"/>
        <v>9</v>
      </c>
      <c r="H45" s="92">
        <f t="shared" si="2"/>
        <v>0</v>
      </c>
      <c r="I45" s="92">
        <v>9</v>
      </c>
      <c r="J45" s="92">
        <f t="shared" si="3"/>
        <v>0</v>
      </c>
      <c r="K45" s="39"/>
      <c r="L45" s="39"/>
      <c r="M45" s="39"/>
      <c r="N45" s="39"/>
      <c r="O45" s="39"/>
      <c r="P45" s="39"/>
      <c r="Q45" s="39"/>
      <c r="R45" s="39"/>
      <c r="S45" s="39">
        <v>9</v>
      </c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40"/>
      <c r="AG45" s="40"/>
      <c r="AH45" s="40"/>
      <c r="AI45" s="40"/>
      <c r="AJ45" s="40"/>
      <c r="AK45" s="40"/>
      <c r="AL45" s="40"/>
      <c r="AM45" s="40"/>
      <c r="AN45" s="40"/>
    </row>
    <row r="46" spans="1:40" x14ac:dyDescent="0.25">
      <c r="A46" s="44">
        <v>2.39</v>
      </c>
      <c r="B46" s="44" t="s">
        <v>46</v>
      </c>
      <c r="C46" s="45" t="s">
        <v>255</v>
      </c>
      <c r="D46" s="45" t="s">
        <v>182</v>
      </c>
      <c r="E46" s="43" t="s">
        <v>18</v>
      </c>
      <c r="F46" s="39">
        <v>5</v>
      </c>
      <c r="G46" s="39">
        <f t="shared" si="1"/>
        <v>5</v>
      </c>
      <c r="H46" s="92">
        <f t="shared" si="2"/>
        <v>0</v>
      </c>
      <c r="I46" s="92">
        <v>4</v>
      </c>
      <c r="J46" s="92">
        <f t="shared" si="3"/>
        <v>-1</v>
      </c>
      <c r="K46" s="39"/>
      <c r="L46" s="39"/>
      <c r="M46" s="39"/>
      <c r="N46" s="39">
        <v>6</v>
      </c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40"/>
      <c r="AG46" s="40"/>
      <c r="AH46" s="40"/>
      <c r="AI46" s="40"/>
      <c r="AJ46" s="40"/>
      <c r="AK46" s="40"/>
      <c r="AL46" s="40"/>
      <c r="AM46" s="40"/>
      <c r="AN46" s="40"/>
    </row>
    <row r="47" spans="1:40" x14ac:dyDescent="0.25">
      <c r="A47" s="44">
        <v>2.4</v>
      </c>
      <c r="B47" s="44" t="s">
        <v>46</v>
      </c>
      <c r="C47" s="45" t="s">
        <v>256</v>
      </c>
      <c r="D47" s="45" t="s">
        <v>182</v>
      </c>
      <c r="E47" s="43" t="s">
        <v>18</v>
      </c>
      <c r="F47" s="39">
        <v>7</v>
      </c>
      <c r="G47" s="39">
        <f t="shared" si="1"/>
        <v>7</v>
      </c>
      <c r="H47" s="92">
        <f t="shared" si="2"/>
        <v>0</v>
      </c>
      <c r="I47" s="92">
        <v>8</v>
      </c>
      <c r="J47" s="92">
        <f t="shared" si="3"/>
        <v>1</v>
      </c>
      <c r="K47" s="39"/>
      <c r="L47" s="39"/>
      <c r="M47" s="39"/>
      <c r="N47" s="39"/>
      <c r="O47" s="39"/>
      <c r="P47" s="39">
        <v>7</v>
      </c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40"/>
      <c r="AG47" s="40"/>
      <c r="AH47" s="40"/>
      <c r="AI47" s="40"/>
      <c r="AJ47" s="40"/>
      <c r="AK47" s="40"/>
      <c r="AL47" s="40"/>
      <c r="AM47" s="40"/>
      <c r="AN47" s="40"/>
    </row>
    <row r="48" spans="1:40" x14ac:dyDescent="0.25">
      <c r="A48" s="44">
        <v>2.41</v>
      </c>
      <c r="B48" s="44" t="s">
        <v>46</v>
      </c>
      <c r="C48" s="45" t="s">
        <v>88</v>
      </c>
      <c r="D48" s="45" t="s">
        <v>182</v>
      </c>
      <c r="E48" s="43" t="s">
        <v>18</v>
      </c>
      <c r="F48" s="39">
        <v>4</v>
      </c>
      <c r="G48" s="39">
        <f t="shared" si="1"/>
        <v>4</v>
      </c>
      <c r="H48" s="92">
        <f t="shared" si="2"/>
        <v>0</v>
      </c>
      <c r="I48" s="92">
        <v>5</v>
      </c>
      <c r="J48" s="92">
        <f t="shared" si="3"/>
        <v>1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>
        <v>4</v>
      </c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40"/>
      <c r="AG48" s="40"/>
      <c r="AH48" s="40"/>
      <c r="AI48" s="40"/>
      <c r="AJ48" s="40"/>
      <c r="AK48" s="40"/>
      <c r="AL48" s="40"/>
      <c r="AM48" s="40"/>
      <c r="AN48" s="40"/>
    </row>
    <row r="49" spans="1:40" x14ac:dyDescent="0.25">
      <c r="A49" s="44">
        <v>2.42</v>
      </c>
      <c r="B49" s="44" t="s">
        <v>46</v>
      </c>
      <c r="C49" s="45" t="s">
        <v>91</v>
      </c>
      <c r="D49" s="45" t="s">
        <v>92</v>
      </c>
      <c r="E49" s="43" t="s">
        <v>18</v>
      </c>
      <c r="F49" s="39">
        <v>4</v>
      </c>
      <c r="G49" s="39">
        <f t="shared" si="1"/>
        <v>4</v>
      </c>
      <c r="H49" s="92">
        <f t="shared" si="2"/>
        <v>0</v>
      </c>
      <c r="I49" s="92">
        <v>4</v>
      </c>
      <c r="J49" s="92">
        <f t="shared" si="3"/>
        <v>0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>
        <v>4</v>
      </c>
      <c r="W49" s="39"/>
      <c r="X49" s="39"/>
      <c r="Y49" s="39"/>
      <c r="Z49" s="39"/>
      <c r="AA49" s="39"/>
      <c r="AB49" s="39"/>
      <c r="AC49" s="39"/>
      <c r="AD49" s="39"/>
      <c r="AE49" s="39"/>
      <c r="AF49" s="40"/>
      <c r="AG49" s="40"/>
      <c r="AH49" s="40"/>
      <c r="AI49" s="40"/>
      <c r="AJ49" s="40"/>
      <c r="AK49" s="40"/>
      <c r="AL49" s="40"/>
      <c r="AM49" s="40"/>
      <c r="AN49" s="40"/>
    </row>
    <row r="50" spans="1:40" x14ac:dyDescent="0.25">
      <c r="A50" s="41">
        <v>2.4300000000000002</v>
      </c>
      <c r="B50" s="41" t="s">
        <v>47</v>
      </c>
      <c r="C50" s="42" t="s">
        <v>86</v>
      </c>
      <c r="D50" s="42" t="s">
        <v>92</v>
      </c>
      <c r="E50" s="43" t="s">
        <v>18</v>
      </c>
      <c r="F50" s="39">
        <v>6</v>
      </c>
      <c r="G50" s="39">
        <f t="shared" si="1"/>
        <v>6</v>
      </c>
      <c r="H50" s="92">
        <f t="shared" si="2"/>
        <v>0</v>
      </c>
      <c r="I50" s="92">
        <v>5</v>
      </c>
      <c r="J50" s="92">
        <f t="shared" si="3"/>
        <v>-1</v>
      </c>
      <c r="K50" s="39"/>
      <c r="L50" s="39">
        <v>6</v>
      </c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40"/>
      <c r="AG50" s="40"/>
      <c r="AH50" s="40"/>
      <c r="AI50" s="40"/>
      <c r="AJ50" s="40"/>
      <c r="AK50" s="40"/>
      <c r="AL50" s="40"/>
      <c r="AM50" s="40"/>
      <c r="AN50" s="40"/>
    </row>
    <row r="51" spans="1:40" x14ac:dyDescent="0.25">
      <c r="A51" s="41">
        <v>2.44</v>
      </c>
      <c r="B51" s="41" t="s">
        <v>47</v>
      </c>
      <c r="C51" s="42" t="s">
        <v>254</v>
      </c>
      <c r="D51" s="42" t="s">
        <v>92</v>
      </c>
      <c r="E51" s="43" t="s">
        <v>18</v>
      </c>
      <c r="F51" s="39">
        <v>6</v>
      </c>
      <c r="G51" s="39">
        <f t="shared" si="1"/>
        <v>6</v>
      </c>
      <c r="H51" s="92">
        <f t="shared" si="2"/>
        <v>0</v>
      </c>
      <c r="I51" s="92">
        <v>7</v>
      </c>
      <c r="J51" s="92">
        <f t="shared" si="3"/>
        <v>1</v>
      </c>
      <c r="K51" s="39"/>
      <c r="L51" s="39"/>
      <c r="M51" s="39"/>
      <c r="N51" s="39"/>
      <c r="O51" s="39"/>
      <c r="P51" s="39"/>
      <c r="Q51" s="39"/>
      <c r="R51" s="39"/>
      <c r="S51" s="39"/>
      <c r="T51" s="39">
        <v>6</v>
      </c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40"/>
      <c r="AG51" s="40"/>
      <c r="AH51" s="40"/>
      <c r="AI51" s="40"/>
      <c r="AJ51" s="40"/>
      <c r="AK51" s="40"/>
      <c r="AL51" s="40"/>
      <c r="AM51" s="40"/>
      <c r="AN51" s="40"/>
    </row>
    <row r="52" spans="1:40" x14ac:dyDescent="0.25">
      <c r="A52" s="41">
        <v>2.4500000000000002</v>
      </c>
      <c r="B52" s="41" t="s">
        <v>47</v>
      </c>
      <c r="C52" s="42" t="s">
        <v>255</v>
      </c>
      <c r="D52" s="42" t="s">
        <v>92</v>
      </c>
      <c r="E52" s="43" t="s">
        <v>18</v>
      </c>
      <c r="F52" s="39">
        <v>6</v>
      </c>
      <c r="G52" s="39">
        <f t="shared" si="1"/>
        <v>6</v>
      </c>
      <c r="H52" s="92">
        <f t="shared" si="2"/>
        <v>0</v>
      </c>
      <c r="I52" s="92">
        <v>6</v>
      </c>
      <c r="J52" s="92">
        <f t="shared" si="3"/>
        <v>0</v>
      </c>
      <c r="K52" s="39"/>
      <c r="L52" s="39"/>
      <c r="M52" s="39"/>
      <c r="N52" s="39"/>
      <c r="O52" s="39">
        <v>6</v>
      </c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40"/>
      <c r="AG52" s="40"/>
      <c r="AH52" s="40"/>
      <c r="AI52" s="40"/>
      <c r="AJ52" s="40"/>
      <c r="AK52" s="40"/>
      <c r="AL52" s="40"/>
      <c r="AM52" s="40"/>
      <c r="AN52" s="40"/>
    </row>
    <row r="53" spans="1:40" x14ac:dyDescent="0.25">
      <c r="A53" s="41">
        <v>2.46</v>
      </c>
      <c r="B53" s="41" t="s">
        <v>47</v>
      </c>
      <c r="C53" s="42" t="s">
        <v>256</v>
      </c>
      <c r="D53" s="42" t="s">
        <v>182</v>
      </c>
      <c r="E53" s="43" t="s">
        <v>18</v>
      </c>
      <c r="F53" s="39">
        <v>8</v>
      </c>
      <c r="G53" s="39">
        <f t="shared" si="1"/>
        <v>8</v>
      </c>
      <c r="H53" s="92">
        <f t="shared" si="2"/>
        <v>0</v>
      </c>
      <c r="I53" s="92">
        <v>8</v>
      </c>
      <c r="J53" s="92">
        <f t="shared" si="3"/>
        <v>0</v>
      </c>
      <c r="K53" s="39"/>
      <c r="L53" s="39"/>
      <c r="M53" s="39"/>
      <c r="N53" s="39"/>
      <c r="O53" s="39">
        <v>8</v>
      </c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40"/>
      <c r="AG53" s="40"/>
      <c r="AH53" s="40"/>
      <c r="AI53" s="40"/>
      <c r="AJ53" s="40"/>
      <c r="AK53" s="40"/>
      <c r="AL53" s="40"/>
      <c r="AM53" s="40"/>
      <c r="AN53" s="40"/>
    </row>
    <row r="54" spans="1:40" x14ac:dyDescent="0.25">
      <c r="A54" s="41">
        <v>2.4700000000000002</v>
      </c>
      <c r="B54" s="41" t="s">
        <v>47</v>
      </c>
      <c r="C54" s="42" t="s">
        <v>88</v>
      </c>
      <c r="D54" s="42" t="s">
        <v>182</v>
      </c>
      <c r="E54" s="43" t="s">
        <v>18</v>
      </c>
      <c r="F54" s="39">
        <v>6</v>
      </c>
      <c r="G54" s="39">
        <f t="shared" si="1"/>
        <v>6</v>
      </c>
      <c r="H54" s="92">
        <f t="shared" si="2"/>
        <v>0</v>
      </c>
      <c r="I54" s="92">
        <v>5</v>
      </c>
      <c r="J54" s="92">
        <f t="shared" si="3"/>
        <v>-1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>
        <v>6</v>
      </c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40"/>
      <c r="AG54" s="40"/>
      <c r="AH54" s="40"/>
      <c r="AI54" s="40"/>
      <c r="AJ54" s="40"/>
      <c r="AK54" s="40"/>
      <c r="AL54" s="40"/>
      <c r="AM54" s="40"/>
      <c r="AN54" s="40"/>
    </row>
    <row r="55" spans="1:40" x14ac:dyDescent="0.25">
      <c r="A55" s="41">
        <v>2.48</v>
      </c>
      <c r="B55" s="41" t="s">
        <v>47</v>
      </c>
      <c r="C55" s="42" t="s">
        <v>91</v>
      </c>
      <c r="D55" s="42" t="s">
        <v>92</v>
      </c>
      <c r="E55" s="43" t="s">
        <v>18</v>
      </c>
      <c r="F55" s="39">
        <v>6</v>
      </c>
      <c r="G55" s="39">
        <f t="shared" si="1"/>
        <v>6</v>
      </c>
      <c r="H55" s="92">
        <f t="shared" si="2"/>
        <v>0</v>
      </c>
      <c r="I55" s="92">
        <v>7</v>
      </c>
      <c r="J55" s="92">
        <f t="shared" si="3"/>
        <v>1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>
        <v>6</v>
      </c>
      <c r="X55" s="39"/>
      <c r="Y55" s="39"/>
      <c r="Z55" s="39"/>
      <c r="AA55" s="39"/>
      <c r="AB55" s="39"/>
      <c r="AC55" s="39"/>
      <c r="AD55" s="39"/>
      <c r="AE55" s="39"/>
      <c r="AF55" s="40"/>
      <c r="AG55" s="40"/>
      <c r="AH55" s="40"/>
      <c r="AI55" s="40"/>
      <c r="AJ55" s="40"/>
      <c r="AK55" s="40"/>
      <c r="AL55" s="40"/>
      <c r="AM55" s="40"/>
      <c r="AN55" s="40"/>
    </row>
    <row r="56" spans="1:40" x14ac:dyDescent="0.25">
      <c r="A56" s="44">
        <v>2.4900000000000002</v>
      </c>
      <c r="B56" s="44" t="s">
        <v>49</v>
      </c>
      <c r="C56" s="45" t="s">
        <v>86</v>
      </c>
      <c r="D56" s="45" t="s">
        <v>182</v>
      </c>
      <c r="E56" s="43" t="s">
        <v>18</v>
      </c>
      <c r="F56" s="39">
        <v>4</v>
      </c>
      <c r="G56" s="39">
        <f t="shared" si="1"/>
        <v>4</v>
      </c>
      <c r="H56" s="92">
        <f t="shared" si="2"/>
        <v>0</v>
      </c>
      <c r="I56" s="92">
        <v>4</v>
      </c>
      <c r="J56" s="92">
        <f t="shared" si="3"/>
        <v>0</v>
      </c>
      <c r="K56" s="39">
        <v>4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40"/>
      <c r="AG56" s="40"/>
      <c r="AH56" s="40"/>
      <c r="AI56" s="40"/>
      <c r="AJ56" s="40"/>
      <c r="AK56" s="40"/>
      <c r="AL56" s="40"/>
      <c r="AM56" s="40"/>
      <c r="AN56" s="40"/>
    </row>
    <row r="57" spans="1:40" x14ac:dyDescent="0.25">
      <c r="A57" s="44">
        <v>2.5</v>
      </c>
      <c r="B57" s="44" t="s">
        <v>49</v>
      </c>
      <c r="C57" s="45" t="s">
        <v>254</v>
      </c>
      <c r="D57" s="45" t="s">
        <v>182</v>
      </c>
      <c r="E57" s="43" t="s">
        <v>18</v>
      </c>
      <c r="F57" s="39">
        <v>6</v>
      </c>
      <c r="G57" s="39">
        <f t="shared" si="1"/>
        <v>6</v>
      </c>
      <c r="H57" s="92">
        <f t="shared" si="2"/>
        <v>0</v>
      </c>
      <c r="I57" s="92">
        <v>7</v>
      </c>
      <c r="J57" s="92">
        <f t="shared" si="3"/>
        <v>1</v>
      </c>
      <c r="K57" s="39"/>
      <c r="L57" s="39"/>
      <c r="M57" s="39"/>
      <c r="N57" s="39"/>
      <c r="O57" s="39"/>
      <c r="P57" s="39"/>
      <c r="Q57" s="39"/>
      <c r="R57" s="39"/>
      <c r="S57" s="39">
        <v>6</v>
      </c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40"/>
      <c r="AG57" s="40"/>
      <c r="AH57" s="40"/>
      <c r="AI57" s="40"/>
      <c r="AJ57" s="40"/>
      <c r="AK57" s="40"/>
      <c r="AL57" s="40"/>
      <c r="AM57" s="40"/>
      <c r="AN57" s="40"/>
    </row>
    <row r="58" spans="1:40" x14ac:dyDescent="0.25">
      <c r="A58" s="44">
        <v>2.5099999999999998</v>
      </c>
      <c r="B58" s="44" t="s">
        <v>49</v>
      </c>
      <c r="C58" s="45" t="s">
        <v>255</v>
      </c>
      <c r="D58" s="45" t="s">
        <v>182</v>
      </c>
      <c r="E58" s="43" t="s">
        <v>18</v>
      </c>
      <c r="F58" s="39">
        <v>5</v>
      </c>
      <c r="G58" s="39">
        <f t="shared" si="1"/>
        <v>5</v>
      </c>
      <c r="H58" s="92">
        <f t="shared" si="2"/>
        <v>0</v>
      </c>
      <c r="I58" s="92">
        <v>6</v>
      </c>
      <c r="J58" s="92">
        <f t="shared" si="3"/>
        <v>1</v>
      </c>
      <c r="K58" s="39"/>
      <c r="L58" s="39"/>
      <c r="M58" s="39"/>
      <c r="N58" s="39"/>
      <c r="O58" s="39">
        <v>5</v>
      </c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40"/>
      <c r="AG58" s="40"/>
      <c r="AH58" s="40"/>
      <c r="AI58" s="40"/>
      <c r="AJ58" s="40"/>
      <c r="AK58" s="40"/>
      <c r="AL58" s="40"/>
      <c r="AM58" s="40"/>
      <c r="AN58" s="40"/>
    </row>
    <row r="59" spans="1:40" x14ac:dyDescent="0.25">
      <c r="A59" s="44">
        <v>2.52</v>
      </c>
      <c r="B59" s="44" t="s">
        <v>49</v>
      </c>
      <c r="C59" s="45" t="s">
        <v>256</v>
      </c>
      <c r="D59" s="45" t="s">
        <v>182</v>
      </c>
      <c r="E59" s="43" t="s">
        <v>18</v>
      </c>
      <c r="F59" s="39">
        <v>8</v>
      </c>
      <c r="G59" s="39">
        <f t="shared" si="1"/>
        <v>8</v>
      </c>
      <c r="H59" s="92">
        <f t="shared" si="2"/>
        <v>0</v>
      </c>
      <c r="I59" s="92">
        <v>8</v>
      </c>
      <c r="J59" s="92">
        <f t="shared" si="3"/>
        <v>0</v>
      </c>
      <c r="K59" s="39"/>
      <c r="L59" s="39"/>
      <c r="M59" s="39"/>
      <c r="N59" s="39"/>
      <c r="O59" s="39"/>
      <c r="P59" s="39">
        <v>8</v>
      </c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40"/>
      <c r="AG59" s="40"/>
      <c r="AH59" s="40"/>
      <c r="AI59" s="40"/>
      <c r="AJ59" s="40"/>
      <c r="AK59" s="40"/>
      <c r="AL59" s="40"/>
      <c r="AM59" s="40"/>
      <c r="AN59" s="40"/>
    </row>
    <row r="60" spans="1:40" x14ac:dyDescent="0.25">
      <c r="A60" s="44">
        <v>2.5299999999999998</v>
      </c>
      <c r="B60" s="44" t="s">
        <v>49</v>
      </c>
      <c r="C60" s="45" t="s">
        <v>88</v>
      </c>
      <c r="D60" s="45" t="s">
        <v>92</v>
      </c>
      <c r="E60" s="43" t="s">
        <v>18</v>
      </c>
      <c r="F60" s="39">
        <v>4</v>
      </c>
      <c r="G60" s="39">
        <f t="shared" si="1"/>
        <v>4</v>
      </c>
      <c r="H60" s="92">
        <f t="shared" si="2"/>
        <v>0</v>
      </c>
      <c r="I60" s="92">
        <v>5</v>
      </c>
      <c r="J60" s="92">
        <f t="shared" si="3"/>
        <v>1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>
        <v>4</v>
      </c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40"/>
      <c r="AG60" s="40"/>
      <c r="AH60" s="40"/>
      <c r="AI60" s="40"/>
      <c r="AJ60" s="40"/>
      <c r="AK60" s="40"/>
      <c r="AL60" s="40"/>
      <c r="AM60" s="40"/>
      <c r="AN60" s="40"/>
    </row>
    <row r="61" spans="1:40" x14ac:dyDescent="0.25">
      <c r="A61" s="44">
        <v>2.54</v>
      </c>
      <c r="B61" s="44" t="s">
        <v>49</v>
      </c>
      <c r="C61" s="45" t="s">
        <v>91</v>
      </c>
      <c r="D61" s="45" t="s">
        <v>92</v>
      </c>
      <c r="E61" s="43" t="s">
        <v>18</v>
      </c>
      <c r="F61" s="39">
        <v>6</v>
      </c>
      <c r="G61" s="39">
        <f t="shared" si="1"/>
        <v>6</v>
      </c>
      <c r="H61" s="92">
        <f t="shared" si="2"/>
        <v>0</v>
      </c>
      <c r="I61" s="92">
        <v>5</v>
      </c>
      <c r="J61" s="92">
        <f t="shared" si="3"/>
        <v>-1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>
        <v>6</v>
      </c>
      <c r="X61" s="39"/>
      <c r="Y61" s="39"/>
      <c r="Z61" s="39"/>
      <c r="AA61" s="39"/>
      <c r="AB61" s="39"/>
      <c r="AC61" s="39"/>
      <c r="AD61" s="39"/>
      <c r="AE61" s="39"/>
      <c r="AF61" s="40"/>
      <c r="AG61" s="40"/>
      <c r="AH61" s="40"/>
      <c r="AI61" s="40"/>
      <c r="AJ61" s="40"/>
      <c r="AK61" s="40"/>
      <c r="AL61" s="40"/>
      <c r="AM61" s="40"/>
      <c r="AN61" s="40"/>
    </row>
    <row r="62" spans="1:40" x14ac:dyDescent="0.25">
      <c r="A62" s="41">
        <v>2.5499999999999998</v>
      </c>
      <c r="B62" s="41" t="s">
        <v>54</v>
      </c>
      <c r="C62" s="42" t="s">
        <v>257</v>
      </c>
      <c r="D62" s="42" t="s">
        <v>177</v>
      </c>
      <c r="E62" s="43" t="s">
        <v>18</v>
      </c>
      <c r="F62" s="39">
        <v>10</v>
      </c>
      <c r="G62" s="39">
        <f t="shared" si="1"/>
        <v>10</v>
      </c>
      <c r="H62" s="92">
        <f t="shared" si="2"/>
        <v>0</v>
      </c>
      <c r="I62" s="92">
        <v>9</v>
      </c>
      <c r="J62" s="92">
        <f t="shared" si="3"/>
        <v>-1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>
        <v>10</v>
      </c>
      <c r="AA62" s="39"/>
      <c r="AB62" s="39"/>
      <c r="AC62" s="39"/>
      <c r="AD62" s="39"/>
      <c r="AE62" s="39"/>
      <c r="AF62" s="40"/>
      <c r="AG62" s="40"/>
      <c r="AH62" s="40"/>
      <c r="AI62" s="40"/>
      <c r="AJ62" s="40"/>
      <c r="AK62" s="40"/>
      <c r="AL62" s="40"/>
      <c r="AM62" s="40"/>
      <c r="AN62" s="40"/>
    </row>
    <row r="63" spans="1:40" x14ac:dyDescent="0.25">
      <c r="A63" s="41">
        <v>2.56</v>
      </c>
      <c r="B63" s="41" t="s">
        <v>54</v>
      </c>
      <c r="C63" s="42" t="s">
        <v>236</v>
      </c>
      <c r="D63" s="42" t="s">
        <v>92</v>
      </c>
      <c r="E63" s="43" t="s">
        <v>18</v>
      </c>
      <c r="F63" s="39">
        <v>10</v>
      </c>
      <c r="G63" s="39">
        <f t="shared" si="1"/>
        <v>10</v>
      </c>
      <c r="H63" s="92">
        <f t="shared" si="2"/>
        <v>0</v>
      </c>
      <c r="I63" s="92">
        <v>7</v>
      </c>
      <c r="J63" s="92">
        <f t="shared" si="3"/>
        <v>-3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>
        <v>10</v>
      </c>
      <c r="AD63" s="39"/>
      <c r="AE63" s="39"/>
      <c r="AF63" s="40"/>
      <c r="AG63" s="40"/>
      <c r="AH63" s="40"/>
      <c r="AI63" s="40"/>
      <c r="AJ63" s="40"/>
      <c r="AK63" s="40"/>
      <c r="AL63" s="40"/>
      <c r="AM63" s="40"/>
      <c r="AN63" s="40"/>
    </row>
    <row r="64" spans="1:40" x14ac:dyDescent="0.25">
      <c r="A64" s="41">
        <v>2.57</v>
      </c>
      <c r="B64" s="41" t="s">
        <v>54</v>
      </c>
      <c r="C64" s="42" t="s">
        <v>258</v>
      </c>
      <c r="D64" s="42" t="s">
        <v>92</v>
      </c>
      <c r="E64" s="43" t="s">
        <v>18</v>
      </c>
      <c r="F64" s="39">
        <v>15</v>
      </c>
      <c r="G64" s="39">
        <f t="shared" si="1"/>
        <v>15</v>
      </c>
      <c r="H64" s="92">
        <f t="shared" si="2"/>
        <v>0</v>
      </c>
      <c r="I64" s="92">
        <v>17</v>
      </c>
      <c r="J64" s="92">
        <f t="shared" si="3"/>
        <v>2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>
        <v>15</v>
      </c>
      <c r="AB64" s="39"/>
      <c r="AC64" s="39"/>
      <c r="AD64" s="39"/>
      <c r="AE64" s="39"/>
      <c r="AF64" s="40"/>
      <c r="AG64" s="40"/>
      <c r="AH64" s="40"/>
      <c r="AI64" s="40"/>
      <c r="AJ64" s="40"/>
      <c r="AK64" s="40"/>
      <c r="AL64" s="40"/>
      <c r="AM64" s="40"/>
      <c r="AN64" s="40"/>
    </row>
    <row r="65" spans="1:40" x14ac:dyDescent="0.25">
      <c r="A65" s="41">
        <v>2.58</v>
      </c>
      <c r="B65" s="41" t="s">
        <v>54</v>
      </c>
      <c r="C65" s="42" t="s">
        <v>256</v>
      </c>
      <c r="D65" s="42" t="s">
        <v>181</v>
      </c>
      <c r="E65" s="43" t="s">
        <v>18</v>
      </c>
      <c r="F65" s="39">
        <v>10</v>
      </c>
      <c r="G65" s="39">
        <f t="shared" si="1"/>
        <v>10</v>
      </c>
      <c r="H65" s="92">
        <f t="shared" si="2"/>
        <v>0</v>
      </c>
      <c r="I65" s="92">
        <v>10</v>
      </c>
      <c r="J65" s="92">
        <f t="shared" si="3"/>
        <v>0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>
        <v>10</v>
      </c>
      <c r="AA65" s="39"/>
      <c r="AB65" s="39"/>
      <c r="AC65" s="39"/>
      <c r="AD65" s="39"/>
      <c r="AE65" s="39"/>
      <c r="AF65" s="40"/>
      <c r="AG65" s="40"/>
      <c r="AH65" s="40"/>
      <c r="AI65" s="40"/>
      <c r="AJ65" s="40"/>
      <c r="AK65" s="40"/>
      <c r="AL65" s="40"/>
      <c r="AM65" s="40"/>
      <c r="AN65" s="40"/>
    </row>
    <row r="66" spans="1:40" x14ac:dyDescent="0.25">
      <c r="A66" s="41">
        <v>2.59</v>
      </c>
      <c r="B66" s="41" t="s">
        <v>54</v>
      </c>
      <c r="C66" s="42" t="s">
        <v>88</v>
      </c>
      <c r="D66" s="42" t="s">
        <v>177</v>
      </c>
      <c r="E66" s="43" t="s">
        <v>18</v>
      </c>
      <c r="F66" s="39">
        <v>7</v>
      </c>
      <c r="G66" s="39">
        <f t="shared" si="1"/>
        <v>7</v>
      </c>
      <c r="H66" s="92">
        <f t="shared" si="2"/>
        <v>0</v>
      </c>
      <c r="I66" s="92">
        <v>7</v>
      </c>
      <c r="J66" s="92">
        <f t="shared" si="3"/>
        <v>0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>
        <v>7</v>
      </c>
      <c r="AF66" s="40"/>
      <c r="AG66" s="40"/>
      <c r="AH66" s="40"/>
      <c r="AI66" s="40"/>
      <c r="AJ66" s="40"/>
      <c r="AK66" s="40"/>
      <c r="AL66" s="40"/>
      <c r="AM66" s="40"/>
      <c r="AN66" s="40"/>
    </row>
    <row r="67" spans="1:40" x14ac:dyDescent="0.25">
      <c r="A67" s="41">
        <v>2.6</v>
      </c>
      <c r="B67" s="41" t="s">
        <v>54</v>
      </c>
      <c r="C67" s="42" t="s">
        <v>91</v>
      </c>
      <c r="D67" s="42" t="s">
        <v>181</v>
      </c>
      <c r="E67" s="43" t="s">
        <v>18</v>
      </c>
      <c r="F67" s="39">
        <v>8</v>
      </c>
      <c r="G67" s="39">
        <f t="shared" si="1"/>
        <v>8</v>
      </c>
      <c r="H67" s="92">
        <f t="shared" si="2"/>
        <v>0</v>
      </c>
      <c r="I67" s="92">
        <v>8</v>
      </c>
      <c r="J67" s="92">
        <f t="shared" si="3"/>
        <v>0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40">
        <v>8</v>
      </c>
      <c r="AG67" s="39"/>
      <c r="AH67" s="40"/>
      <c r="AI67" s="40"/>
      <c r="AJ67" s="40"/>
      <c r="AK67" s="40"/>
      <c r="AL67" s="40"/>
      <c r="AM67" s="40"/>
      <c r="AN67" s="40"/>
    </row>
    <row r="68" spans="1:40" x14ac:dyDescent="0.25">
      <c r="A68" s="46">
        <v>1.5</v>
      </c>
      <c r="B68" s="47" t="s">
        <v>28</v>
      </c>
      <c r="C68" s="48" t="s">
        <v>88</v>
      </c>
      <c r="D68" s="48" t="s">
        <v>181</v>
      </c>
      <c r="E68" s="49" t="s">
        <v>18</v>
      </c>
      <c r="F68" s="39">
        <v>5</v>
      </c>
      <c r="G68" s="39">
        <f t="shared" si="1"/>
        <v>5</v>
      </c>
      <c r="H68" s="92">
        <f t="shared" si="2"/>
        <v>0</v>
      </c>
      <c r="I68" s="92">
        <v>5</v>
      </c>
      <c r="J68" s="92">
        <f t="shared" si="3"/>
        <v>0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40"/>
      <c r="AG68" s="40"/>
      <c r="AH68" s="40"/>
      <c r="AI68" s="40">
        <v>5</v>
      </c>
      <c r="AJ68" s="40"/>
      <c r="AK68" s="40"/>
      <c r="AL68" s="40"/>
      <c r="AM68" s="40"/>
      <c r="AN68" s="40"/>
    </row>
    <row r="69" spans="1:40" x14ac:dyDescent="0.25">
      <c r="A69" s="46">
        <v>1.6</v>
      </c>
      <c r="B69" s="47" t="s">
        <v>28</v>
      </c>
      <c r="C69" s="48" t="s">
        <v>91</v>
      </c>
      <c r="D69" s="48" t="s">
        <v>181</v>
      </c>
      <c r="E69" s="49" t="s">
        <v>18</v>
      </c>
      <c r="F69" s="39">
        <v>5</v>
      </c>
      <c r="G69" s="39">
        <f t="shared" si="1"/>
        <v>5</v>
      </c>
      <c r="H69" s="92">
        <f t="shared" si="2"/>
        <v>0</v>
      </c>
      <c r="I69" s="92">
        <v>6</v>
      </c>
      <c r="J69" s="92">
        <f t="shared" si="3"/>
        <v>1</v>
      </c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40"/>
      <c r="AG69" s="40"/>
      <c r="AH69" s="40"/>
      <c r="AI69" s="40"/>
      <c r="AJ69" s="40">
        <v>5</v>
      </c>
      <c r="AK69" s="40"/>
      <c r="AL69" s="40"/>
      <c r="AM69" s="40"/>
      <c r="AN69" s="40"/>
    </row>
    <row r="70" spans="1:40" x14ac:dyDescent="0.25">
      <c r="A70" s="50">
        <v>1.1100000000000001</v>
      </c>
      <c r="B70" s="51" t="s">
        <v>29</v>
      </c>
      <c r="C70" s="52" t="s">
        <v>88</v>
      </c>
      <c r="D70" s="52" t="s">
        <v>177</v>
      </c>
      <c r="E70" s="49" t="s">
        <v>18</v>
      </c>
      <c r="F70" s="39">
        <v>4</v>
      </c>
      <c r="G70" s="39">
        <f t="shared" si="1"/>
        <v>4</v>
      </c>
      <c r="H70" s="92">
        <f t="shared" si="2"/>
        <v>0</v>
      </c>
      <c r="I70" s="92">
        <v>4</v>
      </c>
      <c r="J70" s="92">
        <f t="shared" si="3"/>
        <v>0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40"/>
      <c r="AG70" s="40"/>
      <c r="AH70" s="40"/>
      <c r="AI70" s="40">
        <v>4</v>
      </c>
      <c r="AJ70" s="40"/>
      <c r="AK70" s="40"/>
      <c r="AL70" s="40"/>
      <c r="AM70" s="40"/>
      <c r="AN70" s="40"/>
    </row>
    <row r="71" spans="1:40" x14ac:dyDescent="0.25">
      <c r="A71" s="50">
        <v>1.1200000000000001</v>
      </c>
      <c r="B71" s="51" t="s">
        <v>29</v>
      </c>
      <c r="C71" s="52" t="s">
        <v>91</v>
      </c>
      <c r="D71" s="52" t="s">
        <v>177</v>
      </c>
      <c r="E71" s="49" t="s">
        <v>18</v>
      </c>
      <c r="F71" s="39">
        <v>4</v>
      </c>
      <c r="G71" s="39">
        <f t="shared" si="1"/>
        <v>4</v>
      </c>
      <c r="H71" s="92">
        <f t="shared" si="2"/>
        <v>0</v>
      </c>
      <c r="I71" s="92">
        <v>4</v>
      </c>
      <c r="J71" s="92">
        <f t="shared" si="3"/>
        <v>0</v>
      </c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40"/>
      <c r="AG71" s="40"/>
      <c r="AH71" s="40"/>
      <c r="AI71" s="40"/>
      <c r="AJ71" s="40">
        <v>4</v>
      </c>
      <c r="AK71" s="40"/>
      <c r="AL71" s="40"/>
      <c r="AM71" s="40"/>
      <c r="AN71" s="40"/>
    </row>
    <row r="72" spans="1:40" x14ac:dyDescent="0.25">
      <c r="A72" s="46">
        <v>1.17</v>
      </c>
      <c r="B72" s="47" t="s">
        <v>30</v>
      </c>
      <c r="C72" s="48" t="s">
        <v>88</v>
      </c>
      <c r="D72" s="52" t="s">
        <v>181</v>
      </c>
      <c r="E72" s="49" t="s">
        <v>18</v>
      </c>
      <c r="F72" s="39">
        <v>4</v>
      </c>
      <c r="G72" s="39">
        <f t="shared" si="1"/>
        <v>4</v>
      </c>
      <c r="H72" s="92">
        <f t="shared" si="2"/>
        <v>0</v>
      </c>
      <c r="I72" s="92">
        <v>4</v>
      </c>
      <c r="J72" s="92">
        <f t="shared" ref="J72:J79" si="4">SUM(I72-F72)</f>
        <v>0</v>
      </c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40"/>
      <c r="AG72" s="40"/>
      <c r="AH72" s="40"/>
      <c r="AI72" s="40">
        <v>4</v>
      </c>
      <c r="AJ72" s="40"/>
      <c r="AK72" s="40"/>
      <c r="AL72" s="40"/>
      <c r="AM72" s="40"/>
      <c r="AN72" s="40"/>
    </row>
    <row r="73" spans="1:40" x14ac:dyDescent="0.25">
      <c r="A73" s="46">
        <v>1.18</v>
      </c>
      <c r="B73" s="47" t="s">
        <v>30</v>
      </c>
      <c r="C73" s="48" t="s">
        <v>91</v>
      </c>
      <c r="D73" s="52" t="s">
        <v>181</v>
      </c>
      <c r="E73" s="49" t="s">
        <v>18</v>
      </c>
      <c r="F73" s="39">
        <v>5</v>
      </c>
      <c r="G73" s="39">
        <f t="shared" ref="G73:G79" si="5">F73</f>
        <v>5</v>
      </c>
      <c r="H73" s="92">
        <f t="shared" ref="H73:H79" si="6">F73-G73</f>
        <v>0</v>
      </c>
      <c r="I73" s="92">
        <v>6</v>
      </c>
      <c r="J73" s="92">
        <f t="shared" si="4"/>
        <v>1</v>
      </c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40"/>
      <c r="AG73" s="40"/>
      <c r="AH73" s="40"/>
      <c r="AI73" s="40"/>
      <c r="AJ73" s="40"/>
      <c r="AK73" s="40"/>
      <c r="AL73" s="40">
        <v>5</v>
      </c>
      <c r="AM73" s="40"/>
      <c r="AN73" s="40"/>
    </row>
    <row r="74" spans="1:40" x14ac:dyDescent="0.25">
      <c r="A74" s="46">
        <v>1.23</v>
      </c>
      <c r="B74" s="47" t="s">
        <v>44</v>
      </c>
      <c r="C74" s="48" t="s">
        <v>88</v>
      </c>
      <c r="D74" s="48" t="s">
        <v>177</v>
      </c>
      <c r="E74" s="49" t="s">
        <v>18</v>
      </c>
      <c r="F74" s="39">
        <v>3</v>
      </c>
      <c r="G74" s="39">
        <f t="shared" si="5"/>
        <v>3</v>
      </c>
      <c r="H74" s="92">
        <f t="shared" si="6"/>
        <v>0</v>
      </c>
      <c r="I74" s="92">
        <v>3</v>
      </c>
      <c r="J74" s="92">
        <f t="shared" si="4"/>
        <v>0</v>
      </c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40"/>
      <c r="AG74" s="40"/>
      <c r="AH74" s="40"/>
      <c r="AI74" s="40">
        <v>3</v>
      </c>
      <c r="AJ74" s="40"/>
      <c r="AK74" s="40"/>
      <c r="AL74" s="40"/>
      <c r="AM74" s="40"/>
      <c r="AN74" s="40"/>
    </row>
    <row r="75" spans="1:40" x14ac:dyDescent="0.25">
      <c r="A75" s="46">
        <v>1.24</v>
      </c>
      <c r="B75" s="47" t="s">
        <v>44</v>
      </c>
      <c r="C75" s="48" t="s">
        <v>91</v>
      </c>
      <c r="D75" s="48" t="s">
        <v>177</v>
      </c>
      <c r="E75" s="49" t="s">
        <v>18</v>
      </c>
      <c r="F75" s="39">
        <v>3</v>
      </c>
      <c r="G75" s="39">
        <f t="shared" si="5"/>
        <v>3</v>
      </c>
      <c r="H75" s="92">
        <f t="shared" si="6"/>
        <v>0</v>
      </c>
      <c r="I75" s="92">
        <v>5</v>
      </c>
      <c r="J75" s="92">
        <f t="shared" si="4"/>
        <v>2</v>
      </c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40"/>
      <c r="AG75" s="40"/>
      <c r="AH75" s="40"/>
      <c r="AI75" s="40"/>
      <c r="AJ75" s="40"/>
      <c r="AK75" s="40"/>
      <c r="AL75" s="40">
        <v>3</v>
      </c>
      <c r="AM75" s="40"/>
      <c r="AN75" s="40"/>
    </row>
    <row r="76" spans="1:40" x14ac:dyDescent="0.25">
      <c r="A76" s="50">
        <v>1.29</v>
      </c>
      <c r="B76" s="47" t="s">
        <v>52</v>
      </c>
      <c r="C76" s="52" t="s">
        <v>88</v>
      </c>
      <c r="D76" s="52" t="s">
        <v>181</v>
      </c>
      <c r="E76" s="49" t="s">
        <v>18</v>
      </c>
      <c r="F76" s="39">
        <v>6</v>
      </c>
      <c r="G76" s="39">
        <f t="shared" si="5"/>
        <v>6</v>
      </c>
      <c r="H76" s="92">
        <f t="shared" si="6"/>
        <v>0</v>
      </c>
      <c r="I76" s="92">
        <v>4</v>
      </c>
      <c r="J76" s="92">
        <f t="shared" si="4"/>
        <v>-2</v>
      </c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40"/>
      <c r="AG76" s="40"/>
      <c r="AH76" s="40"/>
      <c r="AI76" s="40">
        <v>6</v>
      </c>
      <c r="AJ76" s="40"/>
      <c r="AK76" s="40"/>
      <c r="AL76" s="40"/>
      <c r="AM76" s="40"/>
      <c r="AN76" s="40"/>
    </row>
    <row r="77" spans="1:40" x14ac:dyDescent="0.25">
      <c r="A77" s="53">
        <v>1.3</v>
      </c>
      <c r="B77" s="47" t="s">
        <v>52</v>
      </c>
      <c r="C77" s="52" t="s">
        <v>91</v>
      </c>
      <c r="D77" s="52" t="s">
        <v>181</v>
      </c>
      <c r="E77" s="49" t="s">
        <v>18</v>
      </c>
      <c r="F77" s="39">
        <v>5</v>
      </c>
      <c r="G77" s="39">
        <f t="shared" si="5"/>
        <v>5</v>
      </c>
      <c r="H77" s="92">
        <f t="shared" si="6"/>
        <v>0</v>
      </c>
      <c r="I77" s="92">
        <v>7</v>
      </c>
      <c r="J77" s="92">
        <f t="shared" si="4"/>
        <v>2</v>
      </c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40"/>
      <c r="AG77" s="40"/>
      <c r="AH77" s="40"/>
      <c r="AI77" s="40"/>
      <c r="AJ77" s="40"/>
      <c r="AK77" s="40"/>
      <c r="AL77" s="40"/>
      <c r="AM77" s="40"/>
      <c r="AN77" s="40">
        <v>5</v>
      </c>
    </row>
    <row r="78" spans="1:40" x14ac:dyDescent="0.25">
      <c r="A78" s="46">
        <v>1.35</v>
      </c>
      <c r="B78" s="47" t="s">
        <v>53</v>
      </c>
      <c r="C78" s="48" t="s">
        <v>88</v>
      </c>
      <c r="D78" s="48" t="s">
        <v>177</v>
      </c>
      <c r="E78" s="49" t="s">
        <v>18</v>
      </c>
      <c r="F78" s="39">
        <v>4</v>
      </c>
      <c r="G78" s="39">
        <f t="shared" si="5"/>
        <v>4</v>
      </c>
      <c r="H78" s="92">
        <f t="shared" si="6"/>
        <v>0</v>
      </c>
      <c r="I78" s="92">
        <v>4</v>
      </c>
      <c r="J78" s="92">
        <f t="shared" si="4"/>
        <v>0</v>
      </c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40"/>
      <c r="AG78" s="40"/>
      <c r="AH78" s="40"/>
      <c r="AI78" s="40">
        <v>4</v>
      </c>
      <c r="AJ78" s="40"/>
      <c r="AK78" s="40"/>
      <c r="AL78" s="40"/>
      <c r="AM78" s="40"/>
      <c r="AN78" s="40"/>
    </row>
    <row r="79" spans="1:40" x14ac:dyDescent="0.25">
      <c r="A79" s="46">
        <v>1.36</v>
      </c>
      <c r="B79" s="47" t="s">
        <v>53</v>
      </c>
      <c r="C79" s="48" t="s">
        <v>91</v>
      </c>
      <c r="D79" s="48" t="s">
        <v>177</v>
      </c>
      <c r="E79" s="49" t="s">
        <v>18</v>
      </c>
      <c r="F79" s="39">
        <v>4</v>
      </c>
      <c r="G79" s="39">
        <f t="shared" si="5"/>
        <v>4</v>
      </c>
      <c r="H79" s="92">
        <f t="shared" si="6"/>
        <v>0</v>
      </c>
      <c r="I79" s="92">
        <v>4</v>
      </c>
      <c r="J79" s="92">
        <f t="shared" si="4"/>
        <v>0</v>
      </c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40"/>
      <c r="AG79" s="40"/>
      <c r="AH79" s="40"/>
      <c r="AI79" s="40"/>
      <c r="AJ79" s="40"/>
      <c r="AK79" s="40"/>
      <c r="AL79" s="40"/>
      <c r="AM79" s="40"/>
      <c r="AN79" s="40">
        <v>4</v>
      </c>
    </row>
    <row r="80" spans="1:40" x14ac:dyDescent="0.25">
      <c r="A80" s="57"/>
      <c r="B80" s="58"/>
      <c r="C80" s="59"/>
      <c r="D80" s="59"/>
      <c r="E80" s="93" t="s">
        <v>93</v>
      </c>
      <c r="F80" s="94">
        <f>SUM(F8:F79)</f>
        <v>434</v>
      </c>
      <c r="G80" s="94">
        <f>SUM(G8:G55)</f>
        <v>239</v>
      </c>
      <c r="H80" s="94">
        <f>SUM(H32:H79)</f>
        <v>9</v>
      </c>
      <c r="I80" s="94">
        <f>SUM(I8:I55)</f>
        <v>241</v>
      </c>
      <c r="J80" s="94">
        <f>SUM(J8:J55)</f>
        <v>-48</v>
      </c>
      <c r="K80" s="94">
        <f t="shared" ref="K80:AN80" si="7">SUBTOTAL(9,K7:K79)</f>
        <v>24</v>
      </c>
      <c r="L80" s="94">
        <f t="shared" si="7"/>
        <v>21</v>
      </c>
      <c r="M80" s="94">
        <f t="shared" si="7"/>
        <v>12</v>
      </c>
      <c r="N80" s="94">
        <f t="shared" si="7"/>
        <v>33</v>
      </c>
      <c r="O80" s="94">
        <f t="shared" si="7"/>
        <v>42</v>
      </c>
      <c r="P80" s="94">
        <f t="shared" si="7"/>
        <v>39</v>
      </c>
      <c r="Q80" s="94">
        <f t="shared" si="7"/>
        <v>15</v>
      </c>
      <c r="R80" s="94">
        <f t="shared" si="7"/>
        <v>18</v>
      </c>
      <c r="S80" s="94">
        <f t="shared" si="7"/>
        <v>23</v>
      </c>
      <c r="T80" s="94">
        <f t="shared" si="7"/>
        <v>6</v>
      </c>
      <c r="U80" s="94">
        <f t="shared" si="7"/>
        <v>18</v>
      </c>
      <c r="V80" s="94">
        <f t="shared" si="7"/>
        <v>10</v>
      </c>
      <c r="W80" s="94">
        <f t="shared" si="7"/>
        <v>12</v>
      </c>
      <c r="X80" s="94">
        <f t="shared" si="7"/>
        <v>0</v>
      </c>
      <c r="Y80" s="94">
        <f t="shared" si="7"/>
        <v>0</v>
      </c>
      <c r="Z80" s="94">
        <f t="shared" si="7"/>
        <v>20</v>
      </c>
      <c r="AA80" s="94">
        <f t="shared" si="7"/>
        <v>15</v>
      </c>
      <c r="AB80" s="94">
        <f t="shared" si="7"/>
        <v>0</v>
      </c>
      <c r="AC80" s="94">
        <f t="shared" si="7"/>
        <v>10</v>
      </c>
      <c r="AD80" s="94">
        <f t="shared" si="7"/>
        <v>0</v>
      </c>
      <c r="AE80" s="94">
        <f t="shared" si="7"/>
        <v>7</v>
      </c>
      <c r="AF80" s="94">
        <f t="shared" si="7"/>
        <v>8</v>
      </c>
      <c r="AG80" s="94">
        <f t="shared" si="7"/>
        <v>0</v>
      </c>
      <c r="AH80" s="94">
        <f t="shared" si="7"/>
        <v>0</v>
      </c>
      <c r="AI80" s="94">
        <f t="shared" si="7"/>
        <v>26</v>
      </c>
      <c r="AJ80" s="94">
        <f t="shared" si="7"/>
        <v>9</v>
      </c>
      <c r="AK80" s="94">
        <f t="shared" si="7"/>
        <v>0</v>
      </c>
      <c r="AL80" s="94">
        <f t="shared" si="7"/>
        <v>8</v>
      </c>
      <c r="AM80" s="94">
        <f t="shared" si="7"/>
        <v>0</v>
      </c>
      <c r="AN80" s="94">
        <f t="shared" si="7"/>
        <v>9</v>
      </c>
    </row>
    <row r="81" spans="1:40" x14ac:dyDescent="0.25">
      <c r="A81" s="57"/>
      <c r="B81" s="58"/>
      <c r="C81" s="59"/>
      <c r="D81" s="59"/>
      <c r="E81" s="93" t="s">
        <v>94</v>
      </c>
      <c r="F81" s="94"/>
      <c r="G81" s="94"/>
      <c r="H81" s="94"/>
      <c r="I81" s="94"/>
      <c r="J81" s="94"/>
      <c r="K81" s="94">
        <f>F80-K80</f>
        <v>410</v>
      </c>
      <c r="L81" s="94">
        <f>K81-L80</f>
        <v>389</v>
      </c>
      <c r="M81" s="94">
        <f>L81-M80</f>
        <v>377</v>
      </c>
      <c r="N81" s="94">
        <f>M81-N80</f>
        <v>344</v>
      </c>
      <c r="O81" s="94">
        <f>N81-O80</f>
        <v>302</v>
      </c>
      <c r="P81" s="94">
        <f>O81-P80</f>
        <v>263</v>
      </c>
      <c r="Q81" s="94">
        <f t="shared" ref="Q81:AN81" si="8">P81-Q80</f>
        <v>248</v>
      </c>
      <c r="R81" s="94">
        <f t="shared" si="8"/>
        <v>230</v>
      </c>
      <c r="S81" s="94">
        <f t="shared" si="8"/>
        <v>207</v>
      </c>
      <c r="T81" s="94">
        <f t="shared" si="8"/>
        <v>201</v>
      </c>
      <c r="U81" s="94">
        <f t="shared" si="8"/>
        <v>183</v>
      </c>
      <c r="V81" s="94">
        <f t="shared" si="8"/>
        <v>173</v>
      </c>
      <c r="W81" s="94">
        <f t="shared" si="8"/>
        <v>161</v>
      </c>
      <c r="X81" s="94">
        <f t="shared" si="8"/>
        <v>161</v>
      </c>
      <c r="Y81" s="94">
        <f t="shared" si="8"/>
        <v>161</v>
      </c>
      <c r="Z81" s="94">
        <f t="shared" si="8"/>
        <v>141</v>
      </c>
      <c r="AA81" s="94">
        <f t="shared" si="8"/>
        <v>126</v>
      </c>
      <c r="AB81" s="94">
        <f t="shared" si="8"/>
        <v>126</v>
      </c>
      <c r="AC81" s="94">
        <f t="shared" si="8"/>
        <v>116</v>
      </c>
      <c r="AD81" s="94">
        <f t="shared" si="8"/>
        <v>116</v>
      </c>
      <c r="AE81" s="94">
        <f>AD81-AE80</f>
        <v>109</v>
      </c>
      <c r="AF81" s="94">
        <f>AE81-AF80</f>
        <v>101</v>
      </c>
      <c r="AG81" s="94">
        <f>AF81-AG80</f>
        <v>101</v>
      </c>
      <c r="AH81" s="94">
        <f>AG81-AH80</f>
        <v>101</v>
      </c>
      <c r="AI81" s="94">
        <f t="shared" si="8"/>
        <v>75</v>
      </c>
      <c r="AJ81" s="94">
        <f t="shared" si="8"/>
        <v>66</v>
      </c>
      <c r="AK81" s="94">
        <f t="shared" si="8"/>
        <v>66</v>
      </c>
      <c r="AL81" s="94">
        <f t="shared" si="8"/>
        <v>58</v>
      </c>
      <c r="AM81" s="94">
        <f t="shared" si="8"/>
        <v>58</v>
      </c>
      <c r="AN81" s="94">
        <f t="shared" si="8"/>
        <v>49</v>
      </c>
    </row>
    <row r="82" spans="1:40" x14ac:dyDescent="0.25">
      <c r="A82" s="57"/>
      <c r="B82" s="58"/>
      <c r="C82" s="59"/>
      <c r="D82" s="59"/>
      <c r="E82" s="93" t="s">
        <v>95</v>
      </c>
      <c r="F82" s="94"/>
      <c r="G82" s="94"/>
      <c r="H82" s="94"/>
      <c r="I82" s="94"/>
      <c r="J82" s="94"/>
      <c r="K82" s="94">
        <f>K80</f>
        <v>24</v>
      </c>
      <c r="L82" s="94">
        <f>K82+L80</f>
        <v>45</v>
      </c>
      <c r="M82" s="94">
        <f>L82+M80</f>
        <v>57</v>
      </c>
      <c r="N82" s="94">
        <f t="shared" ref="N82:AH82" si="9">M82+N80</f>
        <v>90</v>
      </c>
      <c r="O82" s="94">
        <f t="shared" si="9"/>
        <v>132</v>
      </c>
      <c r="P82" s="94">
        <f t="shared" si="9"/>
        <v>171</v>
      </c>
      <c r="Q82" s="94">
        <f t="shared" si="9"/>
        <v>186</v>
      </c>
      <c r="R82" s="94">
        <f t="shared" si="9"/>
        <v>204</v>
      </c>
      <c r="S82" s="94">
        <f t="shared" si="9"/>
        <v>227</v>
      </c>
      <c r="T82" s="94">
        <f t="shared" si="9"/>
        <v>233</v>
      </c>
      <c r="U82" s="94">
        <f t="shared" si="9"/>
        <v>251</v>
      </c>
      <c r="V82" s="94">
        <f t="shared" si="9"/>
        <v>261</v>
      </c>
      <c r="W82" s="94">
        <f t="shared" si="9"/>
        <v>273</v>
      </c>
      <c r="X82" s="94">
        <f t="shared" si="9"/>
        <v>273</v>
      </c>
      <c r="Y82" s="94">
        <f t="shared" si="9"/>
        <v>273</v>
      </c>
      <c r="Z82" s="94">
        <f t="shared" si="9"/>
        <v>293</v>
      </c>
      <c r="AA82" s="94">
        <f t="shared" si="9"/>
        <v>308</v>
      </c>
      <c r="AB82" s="94">
        <f t="shared" si="9"/>
        <v>308</v>
      </c>
      <c r="AC82" s="94">
        <f t="shared" si="9"/>
        <v>318</v>
      </c>
      <c r="AD82" s="94">
        <f t="shared" si="9"/>
        <v>318</v>
      </c>
      <c r="AE82" s="94">
        <f t="shared" si="9"/>
        <v>325</v>
      </c>
      <c r="AF82" s="94">
        <f t="shared" si="9"/>
        <v>333</v>
      </c>
      <c r="AG82" s="94">
        <f t="shared" si="9"/>
        <v>333</v>
      </c>
      <c r="AH82" s="94">
        <f t="shared" si="9"/>
        <v>333</v>
      </c>
      <c r="AI82" s="94">
        <f t="shared" ref="AI82:AN82" si="10">AH82+AI80</f>
        <v>359</v>
      </c>
      <c r="AJ82" s="94">
        <f t="shared" si="10"/>
        <v>368</v>
      </c>
      <c r="AK82" s="94">
        <f t="shared" si="10"/>
        <v>368</v>
      </c>
      <c r="AL82" s="94">
        <f t="shared" si="10"/>
        <v>376</v>
      </c>
      <c r="AM82" s="94">
        <f t="shared" si="10"/>
        <v>376</v>
      </c>
      <c r="AN82" s="94">
        <f t="shared" si="10"/>
        <v>385</v>
      </c>
    </row>
    <row r="84" spans="1:40" x14ac:dyDescent="0.25">
      <c r="A84" s="54"/>
      <c r="B84" s="55"/>
    </row>
    <row r="85" spans="1:40" x14ac:dyDescent="0.25">
      <c r="A85" s="54"/>
      <c r="B85" s="55"/>
    </row>
    <row r="86" spans="1:40" x14ac:dyDescent="0.25">
      <c r="B86" s="172"/>
      <c r="C86" s="172"/>
    </row>
    <row r="88" spans="1:40" x14ac:dyDescent="0.25">
      <c r="B88" s="60"/>
      <c r="K88" s="60"/>
      <c r="V88" s="60"/>
    </row>
    <row r="89" spans="1:40" x14ac:dyDescent="0.25">
      <c r="A89" s="54"/>
      <c r="B89" s="55"/>
    </row>
    <row r="90" spans="1:40" x14ac:dyDescent="0.25">
      <c r="A90" s="54"/>
      <c r="B90" s="55"/>
    </row>
    <row r="91" spans="1:40" x14ac:dyDescent="0.25">
      <c r="A91" s="54"/>
      <c r="B91" s="55"/>
    </row>
    <row r="92" spans="1:40" x14ac:dyDescent="0.25">
      <c r="A92" s="54"/>
      <c r="B92" s="55"/>
    </row>
    <row r="93" spans="1:40" x14ac:dyDescent="0.25">
      <c r="A93" s="54"/>
      <c r="B93" s="55"/>
    </row>
    <row r="94" spans="1:40" x14ac:dyDescent="0.25">
      <c r="A94" s="54"/>
      <c r="B94" s="55"/>
    </row>
    <row r="95" spans="1:40" x14ac:dyDescent="0.25">
      <c r="A95" s="54"/>
      <c r="B95" s="55"/>
    </row>
    <row r="96" spans="1:40" x14ac:dyDescent="0.25">
      <c r="A96" s="54"/>
      <c r="B96" s="55"/>
    </row>
    <row r="97" spans="1:2" x14ac:dyDescent="0.25">
      <c r="A97" s="54"/>
      <c r="B97" s="55"/>
    </row>
    <row r="98" spans="1:2" x14ac:dyDescent="0.25">
      <c r="A98" s="54"/>
      <c r="B98" s="55"/>
    </row>
    <row r="99" spans="1:2" x14ac:dyDescent="0.25">
      <c r="A99" s="54"/>
      <c r="B99" s="55"/>
    </row>
    <row r="100" spans="1:2" x14ac:dyDescent="0.25">
      <c r="A100" s="54"/>
      <c r="B100" s="55"/>
    </row>
    <row r="101" spans="1:2" x14ac:dyDescent="0.25">
      <c r="A101" s="54"/>
      <c r="B101" s="55"/>
    </row>
    <row r="102" spans="1:2" x14ac:dyDescent="0.25">
      <c r="A102" s="54"/>
      <c r="B102" s="55"/>
    </row>
    <row r="103" spans="1:2" x14ac:dyDescent="0.25">
      <c r="A103" s="54"/>
      <c r="B103" s="55"/>
    </row>
    <row r="104" spans="1:2" x14ac:dyDescent="0.25">
      <c r="A104" s="54"/>
      <c r="B104" s="55"/>
    </row>
    <row r="105" spans="1:2" x14ac:dyDescent="0.25">
      <c r="A105" s="54"/>
      <c r="B105" s="55"/>
    </row>
    <row r="106" spans="1:2" x14ac:dyDescent="0.25">
      <c r="A106" s="54"/>
      <c r="B106" s="55"/>
    </row>
    <row r="107" spans="1:2" x14ac:dyDescent="0.25">
      <c r="A107" s="54"/>
      <c r="B107" s="55"/>
    </row>
    <row r="108" spans="1:2" x14ac:dyDescent="0.25">
      <c r="A108" s="54"/>
      <c r="B108" s="55"/>
    </row>
    <row r="109" spans="1:2" x14ac:dyDescent="0.25">
      <c r="A109" s="54"/>
      <c r="B109" s="55"/>
    </row>
    <row r="110" spans="1:2" x14ac:dyDescent="0.25">
      <c r="A110" s="54"/>
      <c r="B110" s="55"/>
    </row>
    <row r="111" spans="1:2" x14ac:dyDescent="0.25">
      <c r="A111" s="54"/>
      <c r="B111" s="55"/>
    </row>
    <row r="112" spans="1:2" x14ac:dyDescent="0.25">
      <c r="A112" s="54"/>
      <c r="B112" s="55"/>
    </row>
    <row r="113" spans="1:2" x14ac:dyDescent="0.25">
      <c r="A113" s="54"/>
      <c r="B113" s="55"/>
    </row>
    <row r="114" spans="1:2" x14ac:dyDescent="0.25">
      <c r="A114" s="54"/>
      <c r="B114" s="55"/>
    </row>
    <row r="115" spans="1:2" x14ac:dyDescent="0.25">
      <c r="A115" s="54"/>
      <c r="B115" s="55"/>
    </row>
    <row r="116" spans="1:2" x14ac:dyDescent="0.25">
      <c r="A116" s="54"/>
      <c r="B116" s="55"/>
    </row>
    <row r="117" spans="1:2" x14ac:dyDescent="0.25">
      <c r="A117" s="54"/>
      <c r="B117" s="55"/>
    </row>
    <row r="118" spans="1:2" x14ac:dyDescent="0.25">
      <c r="A118" s="54"/>
      <c r="B118" s="55"/>
    </row>
    <row r="119" spans="1:2" x14ac:dyDescent="0.25">
      <c r="A119" s="54"/>
      <c r="B119" s="55"/>
    </row>
    <row r="120" spans="1:2" x14ac:dyDescent="0.25">
      <c r="A120" s="54"/>
      <c r="B120" s="55"/>
    </row>
    <row r="121" spans="1:2" x14ac:dyDescent="0.25">
      <c r="A121" s="54"/>
      <c r="B121" s="55"/>
    </row>
    <row r="122" spans="1:2" x14ac:dyDescent="0.25">
      <c r="A122" s="54"/>
      <c r="B122" s="55"/>
    </row>
    <row r="123" spans="1:2" x14ac:dyDescent="0.25">
      <c r="A123" s="54"/>
      <c r="B123" s="55"/>
    </row>
    <row r="124" spans="1:2" x14ac:dyDescent="0.25">
      <c r="A124" s="54"/>
      <c r="B124" s="60"/>
    </row>
    <row r="125" spans="1:2" x14ac:dyDescent="0.25">
      <c r="A125" s="54"/>
      <c r="B125" s="55"/>
    </row>
    <row r="126" spans="1:2" x14ac:dyDescent="0.25">
      <c r="A126" s="54"/>
      <c r="B126" s="55"/>
    </row>
    <row r="127" spans="1:2" x14ac:dyDescent="0.25">
      <c r="A127" s="54"/>
      <c r="B127" s="55"/>
    </row>
    <row r="128" spans="1:2" x14ac:dyDescent="0.25">
      <c r="A128" s="54"/>
      <c r="B128" s="55"/>
    </row>
    <row r="129" spans="1:2" x14ac:dyDescent="0.25">
      <c r="A129" s="54"/>
      <c r="B129" s="55"/>
    </row>
    <row r="130" spans="1:2" x14ac:dyDescent="0.25">
      <c r="A130" s="54"/>
      <c r="B130" s="55"/>
    </row>
    <row r="131" spans="1:2" x14ac:dyDescent="0.25">
      <c r="A131" s="54"/>
      <c r="B131" s="55"/>
    </row>
    <row r="132" spans="1:2" x14ac:dyDescent="0.25">
      <c r="A132" s="54"/>
      <c r="B132" s="55"/>
    </row>
    <row r="133" spans="1:2" x14ac:dyDescent="0.25">
      <c r="A133" s="54"/>
      <c r="B133" s="55"/>
    </row>
    <row r="134" spans="1:2" x14ac:dyDescent="0.25">
      <c r="A134" s="54"/>
      <c r="B134" s="55"/>
    </row>
    <row r="135" spans="1:2" x14ac:dyDescent="0.25">
      <c r="A135" s="54"/>
      <c r="B135" s="55"/>
    </row>
    <row r="136" spans="1:2" x14ac:dyDescent="0.25">
      <c r="A136" s="54"/>
      <c r="B136" s="55"/>
    </row>
    <row r="137" spans="1:2" x14ac:dyDescent="0.25">
      <c r="A137" s="54"/>
      <c r="B137" s="55"/>
    </row>
    <row r="138" spans="1:2" x14ac:dyDescent="0.25">
      <c r="A138" s="54"/>
      <c r="B138" s="55"/>
    </row>
    <row r="139" spans="1:2" x14ac:dyDescent="0.25">
      <c r="A139" s="54"/>
      <c r="B139" s="55"/>
    </row>
    <row r="140" spans="1:2" x14ac:dyDescent="0.25">
      <c r="A140" s="54"/>
      <c r="B140" s="55"/>
    </row>
    <row r="141" spans="1:2" x14ac:dyDescent="0.25">
      <c r="A141" s="54"/>
      <c r="B141" s="55"/>
    </row>
    <row r="142" spans="1:2" x14ac:dyDescent="0.25">
      <c r="A142" s="54"/>
      <c r="B142" s="55"/>
    </row>
    <row r="143" spans="1:2" x14ac:dyDescent="0.25">
      <c r="A143" s="54"/>
      <c r="B143" s="55"/>
    </row>
    <row r="144" spans="1:2" x14ac:dyDescent="0.25">
      <c r="A144" s="54"/>
      <c r="B144" s="55"/>
    </row>
    <row r="145" spans="1:2" x14ac:dyDescent="0.25">
      <c r="A145" s="54"/>
      <c r="B145" s="55"/>
    </row>
    <row r="146" spans="1:2" x14ac:dyDescent="0.25">
      <c r="A146" s="54"/>
      <c r="B146" s="55"/>
    </row>
    <row r="147" spans="1:2" x14ac:dyDescent="0.25">
      <c r="A147" s="54"/>
      <c r="B147" s="55"/>
    </row>
    <row r="148" spans="1:2" x14ac:dyDescent="0.25">
      <c r="A148" s="54"/>
      <c r="B148" s="55"/>
    </row>
    <row r="149" spans="1:2" x14ac:dyDescent="0.25">
      <c r="A149" s="54"/>
      <c r="B149" s="55"/>
    </row>
    <row r="150" spans="1:2" x14ac:dyDescent="0.25">
      <c r="A150" s="54"/>
      <c r="B150" s="55"/>
    </row>
    <row r="151" spans="1:2" x14ac:dyDescent="0.25">
      <c r="A151" s="54"/>
      <c r="B151" s="55"/>
    </row>
    <row r="152" spans="1:2" x14ac:dyDescent="0.25">
      <c r="A152" s="54"/>
      <c r="B152" s="55"/>
    </row>
    <row r="153" spans="1:2" x14ac:dyDescent="0.25">
      <c r="A153" s="54"/>
      <c r="B153" s="55"/>
    </row>
    <row r="154" spans="1:2" x14ac:dyDescent="0.25">
      <c r="A154" s="54"/>
      <c r="B154" s="55"/>
    </row>
    <row r="155" spans="1:2" x14ac:dyDescent="0.25">
      <c r="A155" s="54"/>
      <c r="B155" s="55"/>
    </row>
    <row r="156" spans="1:2" x14ac:dyDescent="0.25">
      <c r="A156" s="54"/>
      <c r="B156" s="55"/>
    </row>
    <row r="157" spans="1:2" x14ac:dyDescent="0.25">
      <c r="A157" s="54"/>
      <c r="B157" s="55"/>
    </row>
    <row r="158" spans="1:2" x14ac:dyDescent="0.25">
      <c r="A158" s="54"/>
      <c r="B158" s="55"/>
    </row>
    <row r="159" spans="1:2" x14ac:dyDescent="0.25">
      <c r="A159" s="54"/>
      <c r="B159" s="55"/>
    </row>
    <row r="160" spans="1:2" x14ac:dyDescent="0.25">
      <c r="A160" s="54"/>
      <c r="B160" s="55"/>
    </row>
    <row r="161" spans="1:2" x14ac:dyDescent="0.25">
      <c r="A161" s="54"/>
      <c r="B161" s="55"/>
    </row>
    <row r="162" spans="1:2" x14ac:dyDescent="0.25">
      <c r="A162" s="54"/>
      <c r="B162" s="55"/>
    </row>
    <row r="163" spans="1:2" x14ac:dyDescent="0.25">
      <c r="A163" s="54"/>
      <c r="B163" s="55"/>
    </row>
    <row r="164" spans="1:2" x14ac:dyDescent="0.25">
      <c r="A164" s="54"/>
      <c r="B164" s="55"/>
    </row>
    <row r="165" spans="1:2" x14ac:dyDescent="0.25">
      <c r="A165" s="54"/>
      <c r="B165" s="55"/>
    </row>
    <row r="166" spans="1:2" x14ac:dyDescent="0.25">
      <c r="A166" s="54"/>
      <c r="B166" s="55"/>
    </row>
    <row r="167" spans="1:2" x14ac:dyDescent="0.25">
      <c r="A167" s="54"/>
      <c r="B167" s="55"/>
    </row>
    <row r="168" spans="1:2" x14ac:dyDescent="0.25">
      <c r="A168" s="54"/>
      <c r="B168" s="55"/>
    </row>
    <row r="169" spans="1:2" x14ac:dyDescent="0.25">
      <c r="A169" s="54"/>
      <c r="B169" s="55"/>
    </row>
    <row r="170" spans="1:2" x14ac:dyDescent="0.25">
      <c r="A170" s="54"/>
      <c r="B170" s="55"/>
    </row>
    <row r="171" spans="1:2" x14ac:dyDescent="0.25">
      <c r="A171" s="54"/>
      <c r="B171" s="55"/>
    </row>
    <row r="172" spans="1:2" x14ac:dyDescent="0.25">
      <c r="A172" s="54"/>
      <c r="B172" s="55"/>
    </row>
    <row r="173" spans="1:2" x14ac:dyDescent="0.25">
      <c r="A173" s="54"/>
      <c r="B173" s="55"/>
    </row>
    <row r="174" spans="1:2" x14ac:dyDescent="0.25">
      <c r="A174" s="54"/>
      <c r="B174" s="55"/>
    </row>
    <row r="175" spans="1:2" x14ac:dyDescent="0.25">
      <c r="A175" s="54"/>
      <c r="B175" s="55"/>
    </row>
    <row r="176" spans="1:2" x14ac:dyDescent="0.25">
      <c r="A176" s="54"/>
      <c r="B176" s="55"/>
    </row>
    <row r="177" spans="1:2" x14ac:dyDescent="0.25">
      <c r="A177" s="54"/>
      <c r="B177" s="55"/>
    </row>
    <row r="178" spans="1:2" x14ac:dyDescent="0.25">
      <c r="A178" s="54"/>
      <c r="B178" s="55"/>
    </row>
    <row r="179" spans="1:2" x14ac:dyDescent="0.25">
      <c r="A179" s="54"/>
      <c r="B179" s="55"/>
    </row>
    <row r="180" spans="1:2" x14ac:dyDescent="0.25">
      <c r="A180" s="54"/>
      <c r="B180" s="55"/>
    </row>
    <row r="181" spans="1:2" x14ac:dyDescent="0.25">
      <c r="A181" s="54"/>
      <c r="B181" s="55"/>
    </row>
    <row r="182" spans="1:2" x14ac:dyDescent="0.25">
      <c r="A182" s="54"/>
      <c r="B182" s="55"/>
    </row>
    <row r="183" spans="1:2" x14ac:dyDescent="0.25">
      <c r="A183" s="54"/>
      <c r="B183" s="55"/>
    </row>
    <row r="184" spans="1:2" x14ac:dyDescent="0.25">
      <c r="A184" s="54"/>
      <c r="B184" s="55"/>
    </row>
    <row r="185" spans="1:2" x14ac:dyDescent="0.25">
      <c r="A185" s="54"/>
      <c r="B185" s="55"/>
    </row>
    <row r="186" spans="1:2" x14ac:dyDescent="0.25">
      <c r="A186" s="54"/>
      <c r="B186" s="55"/>
    </row>
    <row r="187" spans="1:2" x14ac:dyDescent="0.25">
      <c r="A187" s="54"/>
      <c r="B187" s="55"/>
    </row>
    <row r="188" spans="1:2" x14ac:dyDescent="0.25">
      <c r="A188" s="54"/>
      <c r="B188" s="55"/>
    </row>
    <row r="189" spans="1:2" x14ac:dyDescent="0.25">
      <c r="A189" s="54"/>
      <c r="B189" s="55"/>
    </row>
    <row r="190" spans="1:2" x14ac:dyDescent="0.25">
      <c r="A190" s="54"/>
      <c r="B190" s="55"/>
    </row>
    <row r="191" spans="1:2" x14ac:dyDescent="0.25">
      <c r="A191" s="54"/>
      <c r="B191" s="55"/>
    </row>
    <row r="192" spans="1:2" x14ac:dyDescent="0.25">
      <c r="A192" s="54"/>
      <c r="B192" s="55"/>
    </row>
    <row r="193" spans="1:2" x14ac:dyDescent="0.25">
      <c r="A193" s="54"/>
      <c r="B193" s="55"/>
    </row>
    <row r="194" spans="1:2" x14ac:dyDescent="0.25">
      <c r="A194" s="54"/>
      <c r="B194" s="55"/>
    </row>
    <row r="195" spans="1:2" x14ac:dyDescent="0.25">
      <c r="A195" s="54"/>
      <c r="B195" s="55"/>
    </row>
    <row r="196" spans="1:2" x14ac:dyDescent="0.25">
      <c r="A196" s="54"/>
      <c r="B196" s="55"/>
    </row>
    <row r="197" spans="1:2" x14ac:dyDescent="0.25">
      <c r="A197" s="54"/>
      <c r="B197" s="55"/>
    </row>
    <row r="198" spans="1:2" x14ac:dyDescent="0.25">
      <c r="A198" s="54"/>
      <c r="B198" s="55"/>
    </row>
    <row r="199" spans="1:2" x14ac:dyDescent="0.25">
      <c r="A199" s="54"/>
      <c r="B199" s="55"/>
    </row>
    <row r="200" spans="1:2" x14ac:dyDescent="0.25">
      <c r="A200" s="54"/>
      <c r="B200" s="55"/>
    </row>
    <row r="201" spans="1:2" x14ac:dyDescent="0.25">
      <c r="A201" s="54"/>
      <c r="B201" s="55"/>
    </row>
    <row r="202" spans="1:2" x14ac:dyDescent="0.25">
      <c r="A202" s="54"/>
      <c r="B202" s="55"/>
    </row>
    <row r="203" spans="1:2" x14ac:dyDescent="0.25">
      <c r="A203" s="54"/>
      <c r="B203" s="55"/>
    </row>
    <row r="204" spans="1:2" x14ac:dyDescent="0.25">
      <c r="A204" s="54"/>
      <c r="B204" s="55"/>
    </row>
    <row r="205" spans="1:2" x14ac:dyDescent="0.25">
      <c r="A205" s="54"/>
      <c r="B205" s="55"/>
    </row>
    <row r="206" spans="1:2" x14ac:dyDescent="0.25">
      <c r="A206" s="54"/>
      <c r="B206" s="55"/>
    </row>
    <row r="207" spans="1:2" x14ac:dyDescent="0.25">
      <c r="A207" s="54"/>
      <c r="B207" s="55"/>
    </row>
    <row r="208" spans="1:2" x14ac:dyDescent="0.25">
      <c r="A208" s="54"/>
      <c r="B208" s="55"/>
    </row>
    <row r="209" spans="1:2" x14ac:dyDescent="0.25">
      <c r="A209" s="54"/>
      <c r="B209" s="55"/>
    </row>
    <row r="210" spans="1:2" x14ac:dyDescent="0.25">
      <c r="A210" s="54"/>
      <c r="B210" s="55"/>
    </row>
    <row r="211" spans="1:2" x14ac:dyDescent="0.25">
      <c r="A211" s="54"/>
      <c r="B211" s="55"/>
    </row>
    <row r="212" spans="1:2" x14ac:dyDescent="0.25">
      <c r="A212" s="54"/>
      <c r="B212" s="55"/>
    </row>
    <row r="213" spans="1:2" x14ac:dyDescent="0.25">
      <c r="A213" s="54"/>
      <c r="B213" s="55"/>
    </row>
    <row r="214" spans="1:2" x14ac:dyDescent="0.25">
      <c r="A214" s="54"/>
      <c r="B214" s="55"/>
    </row>
    <row r="215" spans="1:2" x14ac:dyDescent="0.25">
      <c r="A215" s="54"/>
      <c r="B215" s="55"/>
    </row>
    <row r="216" spans="1:2" x14ac:dyDescent="0.25">
      <c r="A216" s="54"/>
      <c r="B216" s="55"/>
    </row>
    <row r="217" spans="1:2" x14ac:dyDescent="0.25">
      <c r="A217" s="54"/>
      <c r="B217" s="55"/>
    </row>
    <row r="218" spans="1:2" x14ac:dyDescent="0.25">
      <c r="A218" s="54"/>
      <c r="B218" s="55"/>
    </row>
    <row r="219" spans="1:2" x14ac:dyDescent="0.25">
      <c r="A219" s="54"/>
      <c r="B219" s="55"/>
    </row>
    <row r="220" spans="1:2" x14ac:dyDescent="0.25">
      <c r="A220" s="54"/>
      <c r="B220" s="55"/>
    </row>
    <row r="221" spans="1:2" x14ac:dyDescent="0.25">
      <c r="A221" s="54"/>
      <c r="B221" s="55"/>
    </row>
    <row r="222" spans="1:2" x14ac:dyDescent="0.25">
      <c r="A222" s="54"/>
      <c r="B222" s="55"/>
    </row>
    <row r="223" spans="1:2" x14ac:dyDescent="0.25">
      <c r="A223" s="54"/>
      <c r="B223" s="55"/>
    </row>
    <row r="224" spans="1:2" x14ac:dyDescent="0.25">
      <c r="A224" s="54"/>
      <c r="B224" s="55"/>
    </row>
    <row r="225" spans="1:2" x14ac:dyDescent="0.25">
      <c r="A225" s="54"/>
      <c r="B225" s="55"/>
    </row>
    <row r="226" spans="1:2" x14ac:dyDescent="0.25">
      <c r="A226" s="54"/>
      <c r="B226" s="55"/>
    </row>
    <row r="227" spans="1:2" x14ac:dyDescent="0.25">
      <c r="A227" s="54"/>
      <c r="B227" s="55"/>
    </row>
    <row r="228" spans="1:2" x14ac:dyDescent="0.25">
      <c r="A228" s="54"/>
      <c r="B228" s="55"/>
    </row>
    <row r="229" spans="1:2" x14ac:dyDescent="0.25">
      <c r="A229" s="54"/>
      <c r="B229" s="55"/>
    </row>
    <row r="230" spans="1:2" x14ac:dyDescent="0.25">
      <c r="A230" s="54"/>
      <c r="B230" s="55"/>
    </row>
    <row r="231" spans="1:2" x14ac:dyDescent="0.25">
      <c r="A231" s="54"/>
      <c r="B231" s="55"/>
    </row>
    <row r="232" spans="1:2" x14ac:dyDescent="0.25">
      <c r="A232" s="54"/>
      <c r="B232" s="55"/>
    </row>
    <row r="233" spans="1:2" x14ac:dyDescent="0.25">
      <c r="A233" s="54"/>
      <c r="B233" s="55"/>
    </row>
    <row r="234" spans="1:2" x14ac:dyDescent="0.25">
      <c r="A234" s="54"/>
      <c r="B234" s="55"/>
    </row>
    <row r="235" spans="1:2" x14ac:dyDescent="0.25">
      <c r="A235" s="54"/>
      <c r="B235" s="55"/>
    </row>
    <row r="236" spans="1:2" x14ac:dyDescent="0.25">
      <c r="A236" s="54"/>
      <c r="B236" s="55"/>
    </row>
    <row r="237" spans="1:2" x14ac:dyDescent="0.25">
      <c r="A237" s="54"/>
      <c r="B237" s="55"/>
    </row>
    <row r="238" spans="1:2" x14ac:dyDescent="0.25">
      <c r="A238" s="54"/>
      <c r="B238" s="55"/>
    </row>
    <row r="239" spans="1:2" x14ac:dyDescent="0.25">
      <c r="A239" s="54"/>
      <c r="B239" s="55"/>
    </row>
    <row r="240" spans="1:2" x14ac:dyDescent="0.25">
      <c r="A240" s="54"/>
      <c r="B240" s="55"/>
    </row>
    <row r="241" spans="1:2" x14ac:dyDescent="0.25">
      <c r="A241" s="54"/>
      <c r="B241" s="55"/>
    </row>
    <row r="242" spans="1:2" x14ac:dyDescent="0.25">
      <c r="A242" s="54"/>
      <c r="B242" s="55"/>
    </row>
    <row r="243" spans="1:2" x14ac:dyDescent="0.25">
      <c r="A243" s="54"/>
      <c r="B243" s="55"/>
    </row>
  </sheetData>
  <mergeCells count="10">
    <mergeCell ref="B86:C86"/>
    <mergeCell ref="K3:T6"/>
    <mergeCell ref="D4:D6"/>
    <mergeCell ref="H4:H6"/>
    <mergeCell ref="I4:I6"/>
    <mergeCell ref="F4:F6"/>
    <mergeCell ref="E5:E6"/>
    <mergeCell ref="G2:G6"/>
    <mergeCell ref="J3:J6"/>
    <mergeCell ref="A5:B5"/>
  </mergeCells>
  <phoneticPr fontId="20" type="noConversion"/>
  <dataValidations count="3">
    <dataValidation type="list" allowBlank="1" showErrorMessage="1" sqref="E8:E79" xr:uid="{00000000-0002-0000-0300-000002000000}">
      <formula1>"Ongoing,Done,Not Started"</formula1>
    </dataValidation>
    <dataValidation type="list" allowBlank="1" showErrorMessage="1" sqref="D68:D79" xr:uid="{5225D681-4D1E-4336-AB6E-C083650435DC}">
      <formula1>"Khoa,Dung,Cuong,Thang,None"</formula1>
    </dataValidation>
    <dataValidation type="list" allowBlank="1" showErrorMessage="1" sqref="B68:B79" xr:uid="{89C73D98-7263-4FF6-9E32-224894E39C09}">
      <formula1>"PB01,PB08,PB02,PB09,PB03,PB10,PB04,PB25,PB26,PB11,B05,PB12,PB06,PB13,PB17,PB19,PB20"</formula1>
    </dataValidation>
  </dataValidations>
  <pageMargins left="0.25" right="0.25" top="0.75" bottom="0.75" header="0" footer="0"/>
  <pageSetup paperSize="8" fitToHeight="0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ADB"/>
  </sheetPr>
  <dimension ref="A1:AQ234"/>
  <sheetViews>
    <sheetView showGridLines="0" topLeftCell="A63" zoomScale="85" zoomScaleNormal="85" workbookViewId="0">
      <selection activeCell="AG104" sqref="AG104"/>
    </sheetView>
  </sheetViews>
  <sheetFormatPr defaultColWidth="14.42578125" defaultRowHeight="16.5" x14ac:dyDescent="0.25"/>
  <cols>
    <col min="1" max="1" width="9.28515625" style="56" bestFit="1" customWidth="1"/>
    <col min="2" max="2" width="11.5703125" style="55" bestFit="1" customWidth="1"/>
    <col min="3" max="3" width="43.140625" style="56" customWidth="1"/>
    <col min="4" max="4" width="9.28515625" style="56" customWidth="1"/>
    <col min="5" max="5" width="12.7109375" style="56" bestFit="1" customWidth="1"/>
    <col min="6" max="6" width="9.42578125" style="56" bestFit="1" customWidth="1"/>
    <col min="7" max="7" width="12.42578125" style="56" customWidth="1"/>
    <col min="8" max="8" width="8.7109375" style="56" bestFit="1" customWidth="1"/>
    <col min="9" max="9" width="6.28515625" style="56" bestFit="1" customWidth="1"/>
    <col min="10" max="10" width="10.28515625" style="56" bestFit="1" customWidth="1"/>
    <col min="11" max="43" width="4.7109375" style="56" bestFit="1" customWidth="1"/>
    <col min="44" max="16384" width="14.42578125" style="56"/>
  </cols>
  <sheetData>
    <row r="1" spans="1:43" x14ac:dyDescent="0.25">
      <c r="A1" s="54"/>
    </row>
    <row r="2" spans="1:43" x14ac:dyDescent="0.25">
      <c r="A2" s="54"/>
      <c r="G2" s="173"/>
    </row>
    <row r="3" spans="1:43" x14ac:dyDescent="0.25">
      <c r="A3" s="54"/>
      <c r="G3" s="174"/>
      <c r="J3" s="173"/>
      <c r="K3" s="173"/>
      <c r="L3" s="174"/>
      <c r="M3" s="174"/>
      <c r="N3" s="174"/>
      <c r="O3" s="174"/>
      <c r="P3" s="174"/>
      <c r="Q3" s="174"/>
      <c r="R3" s="174"/>
      <c r="S3" s="174"/>
      <c r="T3" s="174"/>
    </row>
    <row r="4" spans="1:43" ht="9.75" customHeight="1" x14ac:dyDescent="0.25">
      <c r="B4" s="56"/>
      <c r="D4" s="174"/>
      <c r="E4" s="177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5" spans="1:43" x14ac:dyDescent="0.25">
      <c r="A5" s="178" t="s">
        <v>98</v>
      </c>
      <c r="B5" s="178"/>
      <c r="C5" s="178"/>
      <c r="D5" s="174"/>
      <c r="E5" s="177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</row>
    <row r="6" spans="1:43" x14ac:dyDescent="0.25">
      <c r="A6" s="87"/>
      <c r="B6" s="88"/>
      <c r="C6" s="74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</row>
    <row r="7" spans="1:43" ht="49.5" x14ac:dyDescent="0.25">
      <c r="A7" s="89" t="s">
        <v>59</v>
      </c>
      <c r="B7" s="89" t="s">
        <v>60</v>
      </c>
      <c r="C7" s="89" t="s">
        <v>10</v>
      </c>
      <c r="D7" s="89" t="s">
        <v>27</v>
      </c>
      <c r="E7" s="89" t="s">
        <v>13</v>
      </c>
      <c r="F7" s="90" t="s">
        <v>61</v>
      </c>
      <c r="G7" s="90" t="s">
        <v>19</v>
      </c>
      <c r="H7" s="90" t="s">
        <v>62</v>
      </c>
      <c r="I7" s="90" t="s">
        <v>63</v>
      </c>
      <c r="J7" s="160" t="s">
        <v>64</v>
      </c>
      <c r="K7" s="91" t="s">
        <v>65</v>
      </c>
      <c r="L7" s="91" t="s">
        <v>66</v>
      </c>
      <c r="M7" s="91" t="s">
        <v>67</v>
      </c>
      <c r="N7" s="91" t="s">
        <v>68</v>
      </c>
      <c r="O7" s="91" t="s">
        <v>69</v>
      </c>
      <c r="P7" s="91" t="s">
        <v>70</v>
      </c>
      <c r="Q7" s="91" t="s">
        <v>71</v>
      </c>
      <c r="R7" s="91" t="s">
        <v>72</v>
      </c>
      <c r="S7" s="91" t="s">
        <v>73</v>
      </c>
      <c r="T7" s="91" t="s">
        <v>74</v>
      </c>
      <c r="U7" s="91" t="s">
        <v>75</v>
      </c>
      <c r="V7" s="91" t="s">
        <v>76</v>
      </c>
      <c r="W7" s="91" t="s">
        <v>77</v>
      </c>
      <c r="X7" s="91" t="s">
        <v>78</v>
      </c>
      <c r="Y7" s="91" t="s">
        <v>79</v>
      </c>
      <c r="Z7" s="91" t="s">
        <v>80</v>
      </c>
      <c r="AA7" s="91" t="s">
        <v>81</v>
      </c>
      <c r="AB7" s="91" t="s">
        <v>82</v>
      </c>
      <c r="AC7" s="91" t="s">
        <v>83</v>
      </c>
      <c r="AD7" s="91" t="s">
        <v>84</v>
      </c>
      <c r="AE7" s="91" t="s">
        <v>85</v>
      </c>
      <c r="AF7" s="91" t="s">
        <v>100</v>
      </c>
      <c r="AG7" s="91" t="s">
        <v>100</v>
      </c>
      <c r="AH7" s="91" t="s">
        <v>101</v>
      </c>
      <c r="AI7" s="91" t="s">
        <v>102</v>
      </c>
      <c r="AJ7" s="91" t="s">
        <v>103</v>
      </c>
      <c r="AK7" s="91" t="s">
        <v>104</v>
      </c>
      <c r="AL7" s="91" t="s">
        <v>259</v>
      </c>
      <c r="AM7" s="91" t="s">
        <v>260</v>
      </c>
      <c r="AN7" s="91" t="s">
        <v>261</v>
      </c>
      <c r="AO7" s="91" t="s">
        <v>262</v>
      </c>
      <c r="AP7" s="91" t="s">
        <v>263</v>
      </c>
      <c r="AQ7" s="91" t="s">
        <v>264</v>
      </c>
    </row>
    <row r="8" spans="1:43" x14ac:dyDescent="0.25">
      <c r="A8" s="63">
        <v>3.1</v>
      </c>
      <c r="B8" s="63" t="s">
        <v>35</v>
      </c>
      <c r="C8" s="37" t="s">
        <v>86</v>
      </c>
      <c r="D8" s="40" t="s">
        <v>181</v>
      </c>
      <c r="E8" s="65" t="s">
        <v>18</v>
      </c>
      <c r="F8" s="39">
        <v>4</v>
      </c>
      <c r="G8" s="39">
        <v>4</v>
      </c>
      <c r="H8" s="92">
        <f>F8-G8</f>
        <v>0</v>
      </c>
      <c r="I8" s="92">
        <v>4</v>
      </c>
      <c r="J8" s="92">
        <f t="shared" ref="J8:J61" si="0">SUM(I8-F8)</f>
        <v>0</v>
      </c>
      <c r="K8" s="39"/>
      <c r="L8" s="39">
        <v>4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</row>
    <row r="9" spans="1:43" x14ac:dyDescent="0.25">
      <c r="A9" s="63">
        <v>3.2</v>
      </c>
      <c r="B9" s="63" t="s">
        <v>35</v>
      </c>
      <c r="C9" s="37" t="s">
        <v>254</v>
      </c>
      <c r="D9" s="40" t="s">
        <v>92</v>
      </c>
      <c r="E9" s="65" t="s">
        <v>18</v>
      </c>
      <c r="F9" s="39">
        <v>10</v>
      </c>
      <c r="G9" s="39">
        <v>10</v>
      </c>
      <c r="H9" s="92">
        <f t="shared" ref="H9:H71" si="1">F9-G9</f>
        <v>0</v>
      </c>
      <c r="I9" s="92">
        <v>9</v>
      </c>
      <c r="J9" s="92">
        <f t="shared" si="0"/>
        <v>-1</v>
      </c>
      <c r="K9" s="40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>
        <v>10</v>
      </c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</row>
    <row r="10" spans="1:43" x14ac:dyDescent="0.25">
      <c r="A10" s="63">
        <v>3.3</v>
      </c>
      <c r="B10" s="63" t="s">
        <v>35</v>
      </c>
      <c r="C10" s="37" t="s">
        <v>255</v>
      </c>
      <c r="D10" s="40" t="s">
        <v>181</v>
      </c>
      <c r="E10" s="65" t="s">
        <v>18</v>
      </c>
      <c r="F10" s="39">
        <v>8</v>
      </c>
      <c r="G10" s="39">
        <v>8</v>
      </c>
      <c r="H10" s="92">
        <f t="shared" si="1"/>
        <v>0</v>
      </c>
      <c r="I10" s="92">
        <v>8</v>
      </c>
      <c r="J10" s="92">
        <f t="shared" si="0"/>
        <v>0</v>
      </c>
      <c r="K10" s="39"/>
      <c r="L10" s="39"/>
      <c r="M10" s="39"/>
      <c r="N10" s="39"/>
      <c r="O10" s="39"/>
      <c r="P10" s="39">
        <v>8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</row>
    <row r="11" spans="1:43" x14ac:dyDescent="0.25">
      <c r="A11" s="63">
        <v>3.4</v>
      </c>
      <c r="B11" s="63" t="s">
        <v>35</v>
      </c>
      <c r="C11" s="37" t="s">
        <v>256</v>
      </c>
      <c r="D11" s="40" t="s">
        <v>181</v>
      </c>
      <c r="E11" s="65" t="s">
        <v>18</v>
      </c>
      <c r="F11" s="39">
        <v>14</v>
      </c>
      <c r="G11" s="39">
        <v>14</v>
      </c>
      <c r="H11" s="92">
        <f t="shared" si="1"/>
        <v>0</v>
      </c>
      <c r="I11" s="92">
        <v>14</v>
      </c>
      <c r="J11" s="92">
        <f t="shared" si="0"/>
        <v>0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>
        <v>14</v>
      </c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</row>
    <row r="12" spans="1:43" x14ac:dyDescent="0.25">
      <c r="A12" s="63">
        <v>3.5</v>
      </c>
      <c r="B12" s="63" t="s">
        <v>35</v>
      </c>
      <c r="C12" s="37" t="s">
        <v>88</v>
      </c>
      <c r="D12" s="40" t="s">
        <v>89</v>
      </c>
      <c r="E12" s="65" t="s">
        <v>90</v>
      </c>
      <c r="F12" s="39">
        <v>4</v>
      </c>
      <c r="G12" s="39"/>
      <c r="H12" s="92">
        <f t="shared" si="1"/>
        <v>4</v>
      </c>
      <c r="I12" s="92"/>
      <c r="J12" s="92">
        <f t="shared" si="0"/>
        <v>-4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</row>
    <row r="13" spans="1:43" x14ac:dyDescent="0.25">
      <c r="A13" s="63">
        <v>3.6</v>
      </c>
      <c r="B13" s="63" t="s">
        <v>35</v>
      </c>
      <c r="C13" s="37" t="s">
        <v>91</v>
      </c>
      <c r="D13" s="40" t="s">
        <v>89</v>
      </c>
      <c r="E13" s="65" t="s">
        <v>90</v>
      </c>
      <c r="F13" s="39">
        <v>6</v>
      </c>
      <c r="G13" s="39"/>
      <c r="H13" s="92">
        <f t="shared" si="1"/>
        <v>6</v>
      </c>
      <c r="I13" s="92"/>
      <c r="J13" s="92">
        <f t="shared" si="0"/>
        <v>-6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</row>
    <row r="14" spans="1:43" x14ac:dyDescent="0.25">
      <c r="A14" s="64">
        <v>3.7</v>
      </c>
      <c r="B14" s="64" t="s">
        <v>37</v>
      </c>
      <c r="C14" s="42" t="s">
        <v>86</v>
      </c>
      <c r="D14" s="40" t="s">
        <v>182</v>
      </c>
      <c r="E14" s="65" t="s">
        <v>18</v>
      </c>
      <c r="F14" s="39">
        <v>4</v>
      </c>
      <c r="G14" s="39">
        <v>4</v>
      </c>
      <c r="H14" s="92">
        <f t="shared" si="1"/>
        <v>0</v>
      </c>
      <c r="I14" s="92">
        <v>4</v>
      </c>
      <c r="J14" s="92">
        <f t="shared" si="0"/>
        <v>0</v>
      </c>
      <c r="K14" s="39"/>
      <c r="L14" s="39"/>
      <c r="M14" s="39">
        <v>4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</row>
    <row r="15" spans="1:43" x14ac:dyDescent="0.25">
      <c r="A15" s="64">
        <v>3.8</v>
      </c>
      <c r="B15" s="64" t="s">
        <v>37</v>
      </c>
      <c r="C15" s="42" t="s">
        <v>254</v>
      </c>
      <c r="D15" s="40" t="s">
        <v>92</v>
      </c>
      <c r="E15" s="65" t="s">
        <v>18</v>
      </c>
      <c r="F15" s="39">
        <v>10</v>
      </c>
      <c r="G15" s="39">
        <v>10</v>
      </c>
      <c r="H15" s="92">
        <f t="shared" si="1"/>
        <v>0</v>
      </c>
      <c r="I15" s="92">
        <v>10</v>
      </c>
      <c r="J15" s="92">
        <f t="shared" si="0"/>
        <v>0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>
        <v>10</v>
      </c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</row>
    <row r="16" spans="1:43" x14ac:dyDescent="0.25">
      <c r="A16" s="64">
        <v>3.9</v>
      </c>
      <c r="B16" s="64" t="s">
        <v>37</v>
      </c>
      <c r="C16" s="42" t="s">
        <v>255</v>
      </c>
      <c r="D16" s="40" t="s">
        <v>181</v>
      </c>
      <c r="E16" s="65" t="s">
        <v>18</v>
      </c>
      <c r="F16" s="39">
        <v>8</v>
      </c>
      <c r="G16" s="39">
        <v>8</v>
      </c>
      <c r="H16" s="92">
        <f t="shared" si="1"/>
        <v>0</v>
      </c>
      <c r="I16" s="92">
        <v>10</v>
      </c>
      <c r="J16" s="92">
        <f t="shared" si="0"/>
        <v>2</v>
      </c>
      <c r="K16" s="39"/>
      <c r="L16" s="39"/>
      <c r="M16" s="39"/>
      <c r="N16" s="39"/>
      <c r="O16" s="39"/>
      <c r="P16" s="39"/>
      <c r="Q16" s="39"/>
      <c r="R16" s="39">
        <v>8</v>
      </c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</row>
    <row r="17" spans="1:43" x14ac:dyDescent="0.25">
      <c r="A17" s="64">
        <v>3.1</v>
      </c>
      <c r="B17" s="64" t="s">
        <v>37</v>
      </c>
      <c r="C17" s="42" t="s">
        <v>256</v>
      </c>
      <c r="D17" s="40" t="s">
        <v>182</v>
      </c>
      <c r="E17" s="65" t="s">
        <v>18</v>
      </c>
      <c r="F17" s="39">
        <v>14</v>
      </c>
      <c r="G17" s="39">
        <v>14</v>
      </c>
      <c r="H17" s="92">
        <f t="shared" si="1"/>
        <v>0</v>
      </c>
      <c r="I17" s="92">
        <v>12</v>
      </c>
      <c r="J17" s="92">
        <f t="shared" si="0"/>
        <v>-2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>
        <v>14</v>
      </c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</row>
    <row r="18" spans="1:43" x14ac:dyDescent="0.25">
      <c r="A18" s="64">
        <v>3.11</v>
      </c>
      <c r="B18" s="64" t="s">
        <v>37</v>
      </c>
      <c r="C18" s="42" t="s">
        <v>88</v>
      </c>
      <c r="D18" s="40" t="s">
        <v>89</v>
      </c>
      <c r="E18" s="65" t="s">
        <v>90</v>
      </c>
      <c r="F18" s="39">
        <v>4</v>
      </c>
      <c r="G18" s="39"/>
      <c r="H18" s="92">
        <f t="shared" si="1"/>
        <v>4</v>
      </c>
      <c r="I18" s="92"/>
      <c r="J18" s="92">
        <f t="shared" si="0"/>
        <v>-4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</row>
    <row r="19" spans="1:43" x14ac:dyDescent="0.25">
      <c r="A19" s="64">
        <v>3.12</v>
      </c>
      <c r="B19" s="64" t="s">
        <v>37</v>
      </c>
      <c r="C19" s="42" t="s">
        <v>91</v>
      </c>
      <c r="D19" s="40" t="s">
        <v>89</v>
      </c>
      <c r="E19" s="65" t="s">
        <v>90</v>
      </c>
      <c r="F19" s="39">
        <v>6</v>
      </c>
      <c r="G19" s="39"/>
      <c r="H19" s="92">
        <f t="shared" si="1"/>
        <v>6</v>
      </c>
      <c r="I19" s="92"/>
      <c r="J19" s="92">
        <f t="shared" si="0"/>
        <v>-6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</row>
    <row r="20" spans="1:43" x14ac:dyDescent="0.25">
      <c r="A20" s="63">
        <v>3.13</v>
      </c>
      <c r="B20" s="63" t="s">
        <v>40</v>
      </c>
      <c r="C20" s="37" t="s">
        <v>86</v>
      </c>
      <c r="D20" s="40" t="s">
        <v>177</v>
      </c>
      <c r="E20" s="65" t="s">
        <v>18</v>
      </c>
      <c r="F20" s="39">
        <v>4</v>
      </c>
      <c r="G20" s="39">
        <v>4</v>
      </c>
      <c r="H20" s="92">
        <f t="shared" si="1"/>
        <v>0</v>
      </c>
      <c r="I20" s="92">
        <v>3</v>
      </c>
      <c r="J20" s="92">
        <f t="shared" si="0"/>
        <v>-1</v>
      </c>
      <c r="K20" s="39"/>
      <c r="L20" s="39"/>
      <c r="M20" s="39"/>
      <c r="N20" s="39">
        <v>4</v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</row>
    <row r="21" spans="1:43" x14ac:dyDescent="0.25">
      <c r="A21" s="63">
        <v>3.14</v>
      </c>
      <c r="B21" s="63" t="s">
        <v>40</v>
      </c>
      <c r="C21" s="37" t="s">
        <v>254</v>
      </c>
      <c r="D21" s="40" t="s">
        <v>92</v>
      </c>
      <c r="E21" s="65" t="s">
        <v>18</v>
      </c>
      <c r="F21" s="39">
        <v>10</v>
      </c>
      <c r="G21" s="39">
        <v>10</v>
      </c>
      <c r="H21" s="92">
        <f t="shared" si="1"/>
        <v>0</v>
      </c>
      <c r="I21" s="92">
        <v>10</v>
      </c>
      <c r="J21" s="92">
        <f t="shared" si="0"/>
        <v>0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v>10</v>
      </c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</row>
    <row r="22" spans="1:43" x14ac:dyDescent="0.25">
      <c r="A22" s="63">
        <v>3.15</v>
      </c>
      <c r="B22" s="63" t="s">
        <v>40</v>
      </c>
      <c r="C22" s="37" t="s">
        <v>255</v>
      </c>
      <c r="D22" s="40" t="s">
        <v>177</v>
      </c>
      <c r="E22" s="65" t="s">
        <v>18</v>
      </c>
      <c r="F22" s="39">
        <v>8</v>
      </c>
      <c r="G22" s="39">
        <v>8</v>
      </c>
      <c r="H22" s="92">
        <f t="shared" si="1"/>
        <v>0</v>
      </c>
      <c r="I22" s="92">
        <v>7</v>
      </c>
      <c r="J22" s="92">
        <f t="shared" si="0"/>
        <v>-1</v>
      </c>
      <c r="K22" s="39"/>
      <c r="L22" s="39"/>
      <c r="M22" s="39"/>
      <c r="N22" s="39"/>
      <c r="O22" s="39"/>
      <c r="P22" s="39"/>
      <c r="Q22" s="39"/>
      <c r="R22" s="39"/>
      <c r="S22" s="39">
        <v>8</v>
      </c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pans="1:43" x14ac:dyDescent="0.25">
      <c r="A23" s="63">
        <v>3.16</v>
      </c>
      <c r="B23" s="63" t="s">
        <v>40</v>
      </c>
      <c r="C23" s="37" t="s">
        <v>256</v>
      </c>
      <c r="D23" s="40" t="s">
        <v>177</v>
      </c>
      <c r="E23" s="65" t="s">
        <v>18</v>
      </c>
      <c r="F23" s="39">
        <v>14</v>
      </c>
      <c r="G23" s="39">
        <v>14</v>
      </c>
      <c r="H23" s="92">
        <f t="shared" si="1"/>
        <v>0</v>
      </c>
      <c r="I23" s="92">
        <v>15</v>
      </c>
      <c r="J23" s="92">
        <f t="shared" si="0"/>
        <v>1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>
        <v>14</v>
      </c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</row>
    <row r="24" spans="1:43" x14ac:dyDescent="0.25">
      <c r="A24" s="63">
        <v>3.17</v>
      </c>
      <c r="B24" s="63" t="s">
        <v>40</v>
      </c>
      <c r="C24" s="37" t="s">
        <v>88</v>
      </c>
      <c r="D24" s="40" t="s">
        <v>89</v>
      </c>
      <c r="E24" s="65" t="s">
        <v>90</v>
      </c>
      <c r="F24" s="39">
        <v>4</v>
      </c>
      <c r="G24" s="39"/>
      <c r="H24" s="92">
        <f t="shared" si="1"/>
        <v>4</v>
      </c>
      <c r="I24" s="92"/>
      <c r="J24" s="92">
        <f t="shared" si="0"/>
        <v>-4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spans="1:43" x14ac:dyDescent="0.25">
      <c r="A25" s="63">
        <v>3.18</v>
      </c>
      <c r="B25" s="63" t="s">
        <v>40</v>
      </c>
      <c r="C25" s="37" t="s">
        <v>91</v>
      </c>
      <c r="D25" s="40" t="s">
        <v>89</v>
      </c>
      <c r="E25" s="65" t="s">
        <v>90</v>
      </c>
      <c r="F25" s="39">
        <v>6</v>
      </c>
      <c r="G25" s="39"/>
      <c r="H25" s="92">
        <f t="shared" si="1"/>
        <v>6</v>
      </c>
      <c r="I25" s="92"/>
      <c r="J25" s="92">
        <f t="shared" si="0"/>
        <v>-6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</row>
    <row r="26" spans="1:43" x14ac:dyDescent="0.25">
      <c r="A26" s="64">
        <v>3.19</v>
      </c>
      <c r="B26" s="64" t="s">
        <v>41</v>
      </c>
      <c r="C26" s="42" t="s">
        <v>86</v>
      </c>
      <c r="D26" s="40" t="s">
        <v>177</v>
      </c>
      <c r="E26" s="65" t="s">
        <v>18</v>
      </c>
      <c r="F26" s="39">
        <v>4</v>
      </c>
      <c r="G26" s="39">
        <v>4</v>
      </c>
      <c r="H26" s="92">
        <f t="shared" si="1"/>
        <v>0</v>
      </c>
      <c r="I26" s="92">
        <v>2</v>
      </c>
      <c r="J26" s="92">
        <f t="shared" si="0"/>
        <v>-2</v>
      </c>
      <c r="K26" s="39"/>
      <c r="L26" s="39"/>
      <c r="M26" s="39"/>
      <c r="N26" s="39"/>
      <c r="O26" s="39">
        <v>4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</row>
    <row r="27" spans="1:43" x14ac:dyDescent="0.25">
      <c r="A27" s="64">
        <v>3.2</v>
      </c>
      <c r="B27" s="64" t="s">
        <v>41</v>
      </c>
      <c r="C27" s="42" t="s">
        <v>254</v>
      </c>
      <c r="D27" s="40" t="s">
        <v>92</v>
      </c>
      <c r="E27" s="65" t="s">
        <v>18</v>
      </c>
      <c r="F27" s="39">
        <v>10</v>
      </c>
      <c r="G27" s="39">
        <v>10</v>
      </c>
      <c r="H27" s="92">
        <f t="shared" si="1"/>
        <v>0</v>
      </c>
      <c r="I27" s="92">
        <v>10</v>
      </c>
      <c r="J27" s="92">
        <f t="shared" si="0"/>
        <v>0</v>
      </c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>
        <v>10</v>
      </c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</row>
    <row r="28" spans="1:43" x14ac:dyDescent="0.25">
      <c r="A28" s="64">
        <v>3.21</v>
      </c>
      <c r="B28" s="64" t="s">
        <v>41</v>
      </c>
      <c r="C28" s="42" t="s">
        <v>255</v>
      </c>
      <c r="D28" s="40" t="s">
        <v>177</v>
      </c>
      <c r="E28" s="65" t="s">
        <v>18</v>
      </c>
      <c r="F28" s="39">
        <v>8</v>
      </c>
      <c r="G28" s="39">
        <v>8</v>
      </c>
      <c r="H28" s="92">
        <f t="shared" si="1"/>
        <v>0</v>
      </c>
      <c r="I28" s="92">
        <v>9</v>
      </c>
      <c r="J28" s="92">
        <f t="shared" si="0"/>
        <v>1</v>
      </c>
      <c r="K28" s="39"/>
      <c r="L28" s="39"/>
      <c r="M28" s="39"/>
      <c r="N28" s="39"/>
      <c r="O28" s="39"/>
      <c r="P28" s="39"/>
      <c r="Q28" s="39"/>
      <c r="R28" s="39"/>
      <c r="S28" s="39"/>
      <c r="T28" s="39">
        <v>8</v>
      </c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</row>
    <row r="29" spans="1:43" x14ac:dyDescent="0.25">
      <c r="A29" s="64">
        <v>3.22</v>
      </c>
      <c r="B29" s="64" t="s">
        <v>41</v>
      </c>
      <c r="C29" s="42" t="s">
        <v>256</v>
      </c>
      <c r="D29" s="40" t="s">
        <v>92</v>
      </c>
      <c r="E29" s="65" t="s">
        <v>18</v>
      </c>
      <c r="F29" s="39">
        <v>14</v>
      </c>
      <c r="G29" s="39">
        <v>14</v>
      </c>
      <c r="H29" s="92">
        <f t="shared" si="1"/>
        <v>0</v>
      </c>
      <c r="I29" s="92">
        <v>14</v>
      </c>
      <c r="J29" s="92">
        <f t="shared" si="0"/>
        <v>0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>
        <v>14</v>
      </c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</row>
    <row r="30" spans="1:43" x14ac:dyDescent="0.25">
      <c r="A30" s="64">
        <v>3.23</v>
      </c>
      <c r="B30" s="64" t="s">
        <v>41</v>
      </c>
      <c r="C30" s="42" t="s">
        <v>88</v>
      </c>
      <c r="D30" s="40" t="s">
        <v>89</v>
      </c>
      <c r="E30" s="65" t="s">
        <v>90</v>
      </c>
      <c r="F30" s="39">
        <v>4</v>
      </c>
      <c r="G30" s="39"/>
      <c r="H30" s="92">
        <f t="shared" si="1"/>
        <v>4</v>
      </c>
      <c r="I30" s="92"/>
      <c r="J30" s="92">
        <f t="shared" si="0"/>
        <v>-4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</row>
    <row r="31" spans="1:43" x14ac:dyDescent="0.25">
      <c r="A31" s="64">
        <v>3.24</v>
      </c>
      <c r="B31" s="64" t="s">
        <v>41</v>
      </c>
      <c r="C31" s="42" t="s">
        <v>91</v>
      </c>
      <c r="D31" s="40" t="s">
        <v>89</v>
      </c>
      <c r="E31" s="65" t="s">
        <v>90</v>
      </c>
      <c r="F31" s="39">
        <v>6</v>
      </c>
      <c r="G31" s="39"/>
      <c r="H31" s="92">
        <f t="shared" si="1"/>
        <v>6</v>
      </c>
      <c r="I31" s="92"/>
      <c r="J31" s="92">
        <f t="shared" si="0"/>
        <v>-6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</row>
    <row r="32" spans="1:43" x14ac:dyDescent="0.25">
      <c r="A32" s="63">
        <v>3.25</v>
      </c>
      <c r="B32" s="63" t="s">
        <v>43</v>
      </c>
      <c r="C32" s="37" t="s">
        <v>86</v>
      </c>
      <c r="D32" s="40" t="s">
        <v>177</v>
      </c>
      <c r="E32" s="65" t="s">
        <v>18</v>
      </c>
      <c r="F32" s="39">
        <v>4</v>
      </c>
      <c r="G32" s="39">
        <v>4</v>
      </c>
      <c r="H32" s="92">
        <f t="shared" si="1"/>
        <v>0</v>
      </c>
      <c r="I32" s="92">
        <v>4</v>
      </c>
      <c r="J32" s="92">
        <f t="shared" si="0"/>
        <v>0</v>
      </c>
      <c r="K32" s="39"/>
      <c r="L32" s="39"/>
      <c r="M32" s="39"/>
      <c r="N32" s="39"/>
      <c r="O32" s="39"/>
      <c r="P32" s="39">
        <v>4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</row>
    <row r="33" spans="1:43" x14ac:dyDescent="0.25">
      <c r="A33" s="63">
        <v>3.26</v>
      </c>
      <c r="B33" s="63" t="s">
        <v>43</v>
      </c>
      <c r="C33" s="37" t="s">
        <v>254</v>
      </c>
      <c r="D33" s="40" t="s">
        <v>181</v>
      </c>
      <c r="E33" s="65" t="s">
        <v>18</v>
      </c>
      <c r="F33" s="39">
        <v>10</v>
      </c>
      <c r="G33" s="39">
        <v>10</v>
      </c>
      <c r="H33" s="92">
        <f t="shared" si="1"/>
        <v>0</v>
      </c>
      <c r="I33" s="92">
        <v>9</v>
      </c>
      <c r="J33" s="92">
        <f t="shared" si="0"/>
        <v>-1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>
        <v>10</v>
      </c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</row>
    <row r="34" spans="1:43" x14ac:dyDescent="0.25">
      <c r="A34" s="63">
        <v>3.27</v>
      </c>
      <c r="B34" s="63" t="s">
        <v>43</v>
      </c>
      <c r="C34" s="37" t="s">
        <v>255</v>
      </c>
      <c r="D34" s="40" t="s">
        <v>181</v>
      </c>
      <c r="E34" s="65" t="s">
        <v>18</v>
      </c>
      <c r="F34" s="39">
        <v>8</v>
      </c>
      <c r="G34" s="39">
        <v>8</v>
      </c>
      <c r="H34" s="92">
        <f t="shared" si="1"/>
        <v>0</v>
      </c>
      <c r="I34" s="92">
        <v>8</v>
      </c>
      <c r="J34" s="92">
        <f t="shared" si="0"/>
        <v>0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>
        <v>8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</row>
    <row r="35" spans="1:43" x14ac:dyDescent="0.25">
      <c r="A35" s="63">
        <v>3.28</v>
      </c>
      <c r="B35" s="63" t="s">
        <v>43</v>
      </c>
      <c r="C35" s="37" t="s">
        <v>256</v>
      </c>
      <c r="D35" s="40" t="s">
        <v>92</v>
      </c>
      <c r="E35" s="65" t="s">
        <v>18</v>
      </c>
      <c r="F35" s="39">
        <v>14</v>
      </c>
      <c r="G35" s="39">
        <v>14</v>
      </c>
      <c r="H35" s="92">
        <f t="shared" si="1"/>
        <v>0</v>
      </c>
      <c r="I35" s="92">
        <v>12</v>
      </c>
      <c r="J35" s="92">
        <f t="shared" si="0"/>
        <v>-2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>
        <v>14</v>
      </c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</row>
    <row r="36" spans="1:43" x14ac:dyDescent="0.25">
      <c r="A36" s="63">
        <v>3.29</v>
      </c>
      <c r="B36" s="63" t="s">
        <v>43</v>
      </c>
      <c r="C36" s="37" t="s">
        <v>88</v>
      </c>
      <c r="D36" s="40" t="s">
        <v>177</v>
      </c>
      <c r="E36" s="65" t="s">
        <v>18</v>
      </c>
      <c r="F36" s="39">
        <v>4</v>
      </c>
      <c r="G36" s="39">
        <v>4</v>
      </c>
      <c r="H36" s="92">
        <f t="shared" si="1"/>
        <v>0</v>
      </c>
      <c r="I36" s="92">
        <v>5</v>
      </c>
      <c r="J36" s="92">
        <f t="shared" si="0"/>
        <v>1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>
        <v>4</v>
      </c>
      <c r="AO36" s="39"/>
      <c r="AP36" s="39"/>
      <c r="AQ36" s="39"/>
    </row>
    <row r="37" spans="1:43" x14ac:dyDescent="0.25">
      <c r="A37" s="63">
        <v>3.3</v>
      </c>
      <c r="B37" s="63" t="s">
        <v>43</v>
      </c>
      <c r="C37" s="37" t="s">
        <v>91</v>
      </c>
      <c r="D37" s="40" t="s">
        <v>181</v>
      </c>
      <c r="E37" s="65" t="s">
        <v>18</v>
      </c>
      <c r="F37" s="39">
        <v>6</v>
      </c>
      <c r="G37" s="39">
        <v>6</v>
      </c>
      <c r="H37" s="92">
        <f t="shared" si="1"/>
        <v>0</v>
      </c>
      <c r="I37" s="92">
        <v>8</v>
      </c>
      <c r="J37" s="92">
        <f t="shared" si="0"/>
        <v>2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>
        <v>6</v>
      </c>
      <c r="AQ37" s="39"/>
    </row>
    <row r="38" spans="1:43" x14ac:dyDescent="0.25">
      <c r="A38" s="64">
        <v>3.31</v>
      </c>
      <c r="B38" s="64" t="s">
        <v>48</v>
      </c>
      <c r="C38" s="42" t="s">
        <v>86</v>
      </c>
      <c r="D38" s="40" t="s">
        <v>182</v>
      </c>
      <c r="E38" s="65" t="s">
        <v>18</v>
      </c>
      <c r="F38" s="39">
        <v>4</v>
      </c>
      <c r="G38" s="39">
        <v>4</v>
      </c>
      <c r="H38" s="92">
        <f t="shared" si="1"/>
        <v>0</v>
      </c>
      <c r="I38" s="92">
        <v>4</v>
      </c>
      <c r="J38" s="92">
        <f t="shared" si="0"/>
        <v>0</v>
      </c>
      <c r="K38" s="39"/>
      <c r="L38" s="39"/>
      <c r="M38" s="39">
        <v>4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</row>
    <row r="39" spans="1:43" x14ac:dyDescent="0.25">
      <c r="A39" s="64">
        <v>3.32</v>
      </c>
      <c r="B39" s="64" t="s">
        <v>48</v>
      </c>
      <c r="C39" s="42" t="s">
        <v>254</v>
      </c>
      <c r="D39" s="40" t="s">
        <v>182</v>
      </c>
      <c r="E39" s="65" t="s">
        <v>18</v>
      </c>
      <c r="F39" s="39">
        <v>10</v>
      </c>
      <c r="G39" s="39">
        <v>10</v>
      </c>
      <c r="H39" s="92">
        <f t="shared" si="1"/>
        <v>0</v>
      </c>
      <c r="I39" s="92">
        <v>8</v>
      </c>
      <c r="J39" s="92">
        <f t="shared" si="0"/>
        <v>-2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>
        <v>10</v>
      </c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</row>
    <row r="40" spans="1:43" x14ac:dyDescent="0.25">
      <c r="A40" s="64">
        <v>3.33</v>
      </c>
      <c r="B40" s="64" t="s">
        <v>48</v>
      </c>
      <c r="C40" s="42" t="s">
        <v>255</v>
      </c>
      <c r="D40" s="40" t="s">
        <v>92</v>
      </c>
      <c r="E40" s="65" t="s">
        <v>18</v>
      </c>
      <c r="F40" s="39">
        <v>8</v>
      </c>
      <c r="G40" s="39">
        <v>8</v>
      </c>
      <c r="H40" s="92">
        <f t="shared" si="1"/>
        <v>0</v>
      </c>
      <c r="I40" s="92">
        <v>8</v>
      </c>
      <c r="J40" s="92">
        <f t="shared" si="0"/>
        <v>0</v>
      </c>
      <c r="K40" s="39"/>
      <c r="L40" s="39"/>
      <c r="M40" s="39"/>
      <c r="N40" s="39"/>
      <c r="O40" s="39"/>
      <c r="P40" s="39"/>
      <c r="Q40" s="39"/>
      <c r="R40" s="39">
        <v>8</v>
      </c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</row>
    <row r="41" spans="1:43" x14ac:dyDescent="0.25">
      <c r="A41" s="64">
        <v>3.34</v>
      </c>
      <c r="B41" s="64" t="s">
        <v>48</v>
      </c>
      <c r="C41" s="42" t="s">
        <v>256</v>
      </c>
      <c r="D41" s="40" t="s">
        <v>182</v>
      </c>
      <c r="E41" s="65" t="s">
        <v>18</v>
      </c>
      <c r="F41" s="39">
        <v>14</v>
      </c>
      <c r="G41" s="39">
        <v>14</v>
      </c>
      <c r="H41" s="92">
        <f t="shared" si="1"/>
        <v>0</v>
      </c>
      <c r="I41" s="92">
        <v>12</v>
      </c>
      <c r="J41" s="92">
        <f t="shared" si="0"/>
        <v>-2</v>
      </c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>
        <v>14</v>
      </c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</row>
    <row r="42" spans="1:43" x14ac:dyDescent="0.25">
      <c r="A42" s="64">
        <v>3.35</v>
      </c>
      <c r="B42" s="64" t="s">
        <v>48</v>
      </c>
      <c r="C42" s="42" t="s">
        <v>88</v>
      </c>
      <c r="D42" s="40" t="s">
        <v>92</v>
      </c>
      <c r="E42" s="65" t="s">
        <v>18</v>
      </c>
      <c r="F42" s="39">
        <v>4</v>
      </c>
      <c r="G42" s="39">
        <v>4</v>
      </c>
      <c r="H42" s="92">
        <f t="shared" si="1"/>
        <v>0</v>
      </c>
      <c r="I42" s="92">
        <v>4</v>
      </c>
      <c r="J42" s="92">
        <f t="shared" si="0"/>
        <v>0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>
        <v>4</v>
      </c>
      <c r="AJ42" s="39"/>
      <c r="AK42" s="39"/>
      <c r="AL42" s="39"/>
      <c r="AM42" s="39"/>
      <c r="AN42" s="39"/>
      <c r="AO42" s="39"/>
      <c r="AP42" s="39"/>
      <c r="AQ42" s="39"/>
    </row>
    <row r="43" spans="1:43" x14ac:dyDescent="0.25">
      <c r="A43" s="64">
        <v>3.36</v>
      </c>
      <c r="B43" s="64" t="s">
        <v>48</v>
      </c>
      <c r="C43" s="42" t="s">
        <v>91</v>
      </c>
      <c r="D43" s="40" t="s">
        <v>182</v>
      </c>
      <c r="E43" s="65" t="s">
        <v>18</v>
      </c>
      <c r="F43" s="39">
        <v>6</v>
      </c>
      <c r="G43" s="39">
        <v>6</v>
      </c>
      <c r="H43" s="92">
        <f t="shared" si="1"/>
        <v>0</v>
      </c>
      <c r="I43" s="92">
        <v>6</v>
      </c>
      <c r="J43" s="92">
        <f t="shared" si="0"/>
        <v>0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>
        <v>6</v>
      </c>
      <c r="AK43" s="39"/>
      <c r="AL43" s="39"/>
      <c r="AM43" s="39"/>
      <c r="AN43" s="39"/>
      <c r="AO43" s="39"/>
      <c r="AP43" s="39"/>
      <c r="AQ43" s="39"/>
    </row>
    <row r="44" spans="1:43" x14ac:dyDescent="0.25">
      <c r="A44" s="63">
        <v>3.37</v>
      </c>
      <c r="B44" s="63" t="s">
        <v>50</v>
      </c>
      <c r="C44" s="37" t="s">
        <v>86</v>
      </c>
      <c r="D44" s="40" t="s">
        <v>92</v>
      </c>
      <c r="E44" s="65" t="s">
        <v>18</v>
      </c>
      <c r="F44" s="39">
        <v>4</v>
      </c>
      <c r="G44" s="39">
        <v>4</v>
      </c>
      <c r="H44" s="92">
        <f t="shared" si="1"/>
        <v>0</v>
      </c>
      <c r="I44" s="92">
        <v>4</v>
      </c>
      <c r="J44" s="92">
        <f t="shared" si="0"/>
        <v>0</v>
      </c>
      <c r="K44" s="39"/>
      <c r="L44" s="39"/>
      <c r="M44" s="39"/>
      <c r="N44" s="39">
        <v>4</v>
      </c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</row>
    <row r="45" spans="1:43" x14ac:dyDescent="0.25">
      <c r="A45" s="63">
        <v>3.38</v>
      </c>
      <c r="B45" s="63" t="s">
        <v>50</v>
      </c>
      <c r="C45" s="37" t="s">
        <v>254</v>
      </c>
      <c r="D45" s="40" t="s">
        <v>182</v>
      </c>
      <c r="E45" s="65" t="s">
        <v>18</v>
      </c>
      <c r="F45" s="39">
        <v>10</v>
      </c>
      <c r="G45" s="39">
        <v>10</v>
      </c>
      <c r="H45" s="92">
        <f t="shared" si="1"/>
        <v>0</v>
      </c>
      <c r="I45" s="92">
        <v>11</v>
      </c>
      <c r="J45" s="92">
        <f t="shared" si="0"/>
        <v>1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>
        <v>10</v>
      </c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</row>
    <row r="46" spans="1:43" x14ac:dyDescent="0.25">
      <c r="A46" s="63">
        <v>3.39</v>
      </c>
      <c r="B46" s="63" t="s">
        <v>50</v>
      </c>
      <c r="C46" s="37" t="s">
        <v>255</v>
      </c>
      <c r="D46" s="40" t="s">
        <v>92</v>
      </c>
      <c r="E46" s="65" t="s">
        <v>18</v>
      </c>
      <c r="F46" s="39">
        <v>8</v>
      </c>
      <c r="G46" s="39">
        <v>8</v>
      </c>
      <c r="H46" s="92">
        <f t="shared" si="1"/>
        <v>0</v>
      </c>
      <c r="I46" s="92">
        <v>8</v>
      </c>
      <c r="J46" s="92">
        <f t="shared" si="0"/>
        <v>0</v>
      </c>
      <c r="K46" s="39"/>
      <c r="L46" s="39"/>
      <c r="M46" s="39"/>
      <c r="N46" s="39"/>
      <c r="O46" s="39"/>
      <c r="P46" s="39"/>
      <c r="Q46" s="39"/>
      <c r="R46" s="39"/>
      <c r="S46" s="39">
        <v>8</v>
      </c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</row>
    <row r="47" spans="1:43" x14ac:dyDescent="0.25">
      <c r="A47" s="63">
        <v>3.4</v>
      </c>
      <c r="B47" s="63" t="s">
        <v>50</v>
      </c>
      <c r="C47" s="37" t="s">
        <v>256</v>
      </c>
      <c r="D47" s="40" t="s">
        <v>182</v>
      </c>
      <c r="E47" s="65" t="s">
        <v>18</v>
      </c>
      <c r="F47" s="39">
        <v>14</v>
      </c>
      <c r="G47" s="39">
        <v>14</v>
      </c>
      <c r="H47" s="92">
        <f t="shared" si="1"/>
        <v>0</v>
      </c>
      <c r="I47" s="92">
        <v>12</v>
      </c>
      <c r="J47" s="92">
        <f t="shared" si="0"/>
        <v>-2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>
        <v>14</v>
      </c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</row>
    <row r="48" spans="1:43" x14ac:dyDescent="0.25">
      <c r="A48" s="63">
        <v>3.41</v>
      </c>
      <c r="B48" s="63" t="s">
        <v>50</v>
      </c>
      <c r="C48" s="37" t="s">
        <v>88</v>
      </c>
      <c r="D48" s="40" t="s">
        <v>182</v>
      </c>
      <c r="E48" s="65" t="s">
        <v>18</v>
      </c>
      <c r="F48" s="39">
        <v>4</v>
      </c>
      <c r="G48" s="39">
        <v>4</v>
      </c>
      <c r="H48" s="92">
        <f>F48-G48</f>
        <v>0</v>
      </c>
      <c r="I48" s="92">
        <v>4</v>
      </c>
      <c r="J48" s="92">
        <f t="shared" si="0"/>
        <v>0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>
        <v>4</v>
      </c>
      <c r="AJ48" s="39"/>
      <c r="AK48" s="39"/>
      <c r="AL48" s="39"/>
      <c r="AM48" s="39"/>
      <c r="AN48" s="39"/>
      <c r="AO48" s="39"/>
      <c r="AP48" s="39"/>
      <c r="AQ48" s="39"/>
    </row>
    <row r="49" spans="1:43" x14ac:dyDescent="0.25">
      <c r="A49" s="63">
        <v>3.42</v>
      </c>
      <c r="B49" s="63" t="s">
        <v>50</v>
      </c>
      <c r="C49" s="37" t="s">
        <v>91</v>
      </c>
      <c r="D49" s="40" t="s">
        <v>182</v>
      </c>
      <c r="E49" s="65" t="s">
        <v>18</v>
      </c>
      <c r="F49" s="39">
        <v>6</v>
      </c>
      <c r="G49" s="39">
        <v>6</v>
      </c>
      <c r="H49" s="92">
        <f t="shared" si="1"/>
        <v>0</v>
      </c>
      <c r="I49" s="92">
        <v>6</v>
      </c>
      <c r="J49" s="92">
        <f t="shared" si="0"/>
        <v>0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>
        <v>6</v>
      </c>
      <c r="AK49" s="39"/>
      <c r="AL49" s="39"/>
      <c r="AM49" s="39"/>
      <c r="AN49" s="39"/>
      <c r="AO49" s="39"/>
      <c r="AP49" s="39"/>
      <c r="AQ49" s="39"/>
    </row>
    <row r="50" spans="1:43" x14ac:dyDescent="0.25">
      <c r="A50" s="64">
        <v>3.43</v>
      </c>
      <c r="B50" s="64" t="s">
        <v>55</v>
      </c>
      <c r="C50" s="61" t="s">
        <v>265</v>
      </c>
      <c r="D50" s="40" t="s">
        <v>181</v>
      </c>
      <c r="E50" s="65" t="s">
        <v>18</v>
      </c>
      <c r="F50" s="39">
        <v>10</v>
      </c>
      <c r="G50" s="39">
        <v>10</v>
      </c>
      <c r="H50" s="92">
        <f t="shared" si="1"/>
        <v>0</v>
      </c>
      <c r="I50" s="92">
        <v>8</v>
      </c>
      <c r="J50" s="92">
        <f t="shared" si="0"/>
        <v>-2</v>
      </c>
      <c r="K50" s="39"/>
      <c r="L50" s="39"/>
      <c r="M50" s="39"/>
      <c r="N50" s="39"/>
      <c r="O50" s="39"/>
      <c r="P50" s="39"/>
      <c r="Q50" s="39">
        <v>10</v>
      </c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</row>
    <row r="51" spans="1:43" x14ac:dyDescent="0.25">
      <c r="A51" s="64">
        <v>3.44</v>
      </c>
      <c r="B51" s="64" t="s">
        <v>55</v>
      </c>
      <c r="C51" s="61" t="s">
        <v>266</v>
      </c>
      <c r="D51" s="40" t="s">
        <v>177</v>
      </c>
      <c r="E51" s="65" t="s">
        <v>18</v>
      </c>
      <c r="F51" s="39">
        <v>12</v>
      </c>
      <c r="G51" s="39">
        <v>12</v>
      </c>
      <c r="H51" s="92">
        <f t="shared" si="1"/>
        <v>0</v>
      </c>
      <c r="I51" s="92">
        <v>14</v>
      </c>
      <c r="J51" s="92">
        <f t="shared" si="0"/>
        <v>2</v>
      </c>
      <c r="K51" s="39"/>
      <c r="L51" s="39"/>
      <c r="M51" s="39"/>
      <c r="N51" s="39"/>
      <c r="O51" s="39"/>
      <c r="P51" s="39"/>
      <c r="Q51" s="39"/>
      <c r="R51" s="39"/>
      <c r="S51" s="39"/>
      <c r="T51" s="39">
        <v>12</v>
      </c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</row>
    <row r="52" spans="1:43" x14ac:dyDescent="0.25">
      <c r="A52" s="64">
        <v>3.45</v>
      </c>
      <c r="B52" s="64" t="s">
        <v>55</v>
      </c>
      <c r="C52" s="61" t="s">
        <v>267</v>
      </c>
      <c r="D52" s="40" t="s">
        <v>92</v>
      </c>
      <c r="E52" s="65" t="s">
        <v>18</v>
      </c>
      <c r="F52" s="39">
        <v>24</v>
      </c>
      <c r="G52" s="39">
        <v>24</v>
      </c>
      <c r="H52" s="92">
        <f t="shared" si="1"/>
        <v>0</v>
      </c>
      <c r="I52" s="92">
        <v>25</v>
      </c>
      <c r="J52" s="92">
        <f t="shared" si="0"/>
        <v>1</v>
      </c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>
        <v>24</v>
      </c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</row>
    <row r="53" spans="1:43" x14ac:dyDescent="0.25">
      <c r="A53" s="64">
        <v>3.46</v>
      </c>
      <c r="B53" s="64" t="s">
        <v>55</v>
      </c>
      <c r="C53" s="61" t="s">
        <v>268</v>
      </c>
      <c r="D53" s="40" t="s">
        <v>92</v>
      </c>
      <c r="E53" s="65" t="s">
        <v>18</v>
      </c>
      <c r="F53" s="39">
        <v>20</v>
      </c>
      <c r="G53" s="39">
        <v>20</v>
      </c>
      <c r="H53" s="92">
        <f t="shared" si="1"/>
        <v>0</v>
      </c>
      <c r="I53" s="92">
        <v>24</v>
      </c>
      <c r="J53" s="92">
        <f t="shared" si="0"/>
        <v>4</v>
      </c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>
        <v>12</v>
      </c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</row>
    <row r="54" spans="1:43" x14ac:dyDescent="0.25">
      <c r="A54" s="64">
        <v>3.47</v>
      </c>
      <c r="B54" s="64" t="s">
        <v>55</v>
      </c>
      <c r="C54" s="61" t="s">
        <v>269</v>
      </c>
      <c r="D54" s="40" t="s">
        <v>92</v>
      </c>
      <c r="E54" s="65" t="s">
        <v>90</v>
      </c>
      <c r="F54" s="39">
        <v>12</v>
      </c>
      <c r="G54" s="39">
        <v>0</v>
      </c>
      <c r="H54" s="92">
        <f t="shared" si="1"/>
        <v>12</v>
      </c>
      <c r="I54" s="92">
        <v>0</v>
      </c>
      <c r="J54" s="92">
        <v>0</v>
      </c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</row>
    <row r="55" spans="1:43" x14ac:dyDescent="0.25">
      <c r="A55" s="64">
        <v>3.48</v>
      </c>
      <c r="B55" s="64" t="s">
        <v>55</v>
      </c>
      <c r="C55" s="61" t="s">
        <v>270</v>
      </c>
      <c r="D55" s="40" t="s">
        <v>182</v>
      </c>
      <c r="E55" s="65" t="s">
        <v>90</v>
      </c>
      <c r="F55" s="39">
        <v>16</v>
      </c>
      <c r="G55" s="39">
        <v>0</v>
      </c>
      <c r="H55" s="92">
        <f t="shared" si="1"/>
        <v>16</v>
      </c>
      <c r="I55" s="92">
        <v>0</v>
      </c>
      <c r="J55" s="92">
        <v>0</v>
      </c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>
        <v>16</v>
      </c>
      <c r="AL55" s="39"/>
      <c r="AM55" s="39"/>
      <c r="AN55" s="39"/>
      <c r="AO55" s="39"/>
      <c r="AP55" s="39"/>
      <c r="AQ55" s="39"/>
    </row>
    <row r="56" spans="1:43" x14ac:dyDescent="0.25">
      <c r="A56" s="63">
        <v>3.49</v>
      </c>
      <c r="B56" s="63" t="s">
        <v>56</v>
      </c>
      <c r="C56" s="62" t="s">
        <v>271</v>
      </c>
      <c r="D56" s="40" t="s">
        <v>181</v>
      </c>
      <c r="E56" s="65" t="s">
        <v>18</v>
      </c>
      <c r="F56" s="39">
        <v>10</v>
      </c>
      <c r="G56" s="39">
        <v>10</v>
      </c>
      <c r="H56" s="92">
        <f t="shared" si="1"/>
        <v>0</v>
      </c>
      <c r="I56" s="92">
        <v>10</v>
      </c>
      <c r="J56" s="92">
        <f t="shared" si="0"/>
        <v>0</v>
      </c>
      <c r="K56" s="39"/>
      <c r="L56" s="39"/>
      <c r="M56" s="39"/>
      <c r="N56" s="39"/>
      <c r="O56" s="39"/>
      <c r="P56" s="39"/>
      <c r="Q56" s="39"/>
      <c r="R56" s="39">
        <v>10</v>
      </c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</row>
    <row r="57" spans="1:43" x14ac:dyDescent="0.25">
      <c r="A57" s="63">
        <v>3.5</v>
      </c>
      <c r="B57" s="63" t="s">
        <v>56</v>
      </c>
      <c r="C57" s="62" t="s">
        <v>272</v>
      </c>
      <c r="D57" s="40" t="s">
        <v>177</v>
      </c>
      <c r="E57" s="65" t="s">
        <v>18</v>
      </c>
      <c r="F57" s="39">
        <v>12</v>
      </c>
      <c r="G57" s="39">
        <v>12</v>
      </c>
      <c r="H57" s="92">
        <f t="shared" si="1"/>
        <v>0</v>
      </c>
      <c r="I57" s="92">
        <v>14</v>
      </c>
      <c r="J57" s="92">
        <f t="shared" si="0"/>
        <v>2</v>
      </c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>
        <v>12</v>
      </c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</row>
    <row r="58" spans="1:43" x14ac:dyDescent="0.25">
      <c r="A58" s="63">
        <v>3.51</v>
      </c>
      <c r="B58" s="63" t="s">
        <v>56</v>
      </c>
      <c r="C58" s="62" t="s">
        <v>273</v>
      </c>
      <c r="D58" s="40" t="s">
        <v>92</v>
      </c>
      <c r="E58" s="65" t="s">
        <v>18</v>
      </c>
      <c r="F58" s="39">
        <v>20</v>
      </c>
      <c r="G58" s="39">
        <v>20</v>
      </c>
      <c r="H58" s="92">
        <f t="shared" si="1"/>
        <v>0</v>
      </c>
      <c r="I58" s="92">
        <v>22</v>
      </c>
      <c r="J58" s="92">
        <f t="shared" si="0"/>
        <v>2</v>
      </c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>
        <v>20</v>
      </c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</row>
    <row r="59" spans="1:43" x14ac:dyDescent="0.25">
      <c r="A59" s="63">
        <v>3.52</v>
      </c>
      <c r="B59" s="63" t="s">
        <v>56</v>
      </c>
      <c r="C59" s="62" t="s">
        <v>274</v>
      </c>
      <c r="D59" s="40" t="s">
        <v>92</v>
      </c>
      <c r="E59" s="65" t="s">
        <v>18</v>
      </c>
      <c r="F59" s="39">
        <v>20</v>
      </c>
      <c r="G59" s="39">
        <v>20</v>
      </c>
      <c r="H59" s="92">
        <f t="shared" si="1"/>
        <v>0</v>
      </c>
      <c r="I59" s="92">
        <v>19</v>
      </c>
      <c r="J59" s="92">
        <f t="shared" si="0"/>
        <v>-1</v>
      </c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>
        <v>20</v>
      </c>
      <c r="AH59" s="39"/>
      <c r="AI59" s="39"/>
      <c r="AJ59" s="39"/>
      <c r="AK59" s="39"/>
      <c r="AL59" s="39"/>
      <c r="AM59" s="39"/>
      <c r="AN59" s="39"/>
      <c r="AO59" s="39"/>
      <c r="AP59" s="39"/>
      <c r="AQ59" s="39"/>
    </row>
    <row r="60" spans="1:43" x14ac:dyDescent="0.25">
      <c r="A60" s="63">
        <v>3.53</v>
      </c>
      <c r="B60" s="63" t="s">
        <v>56</v>
      </c>
      <c r="C60" s="62" t="s">
        <v>275</v>
      </c>
      <c r="D60" s="40" t="s">
        <v>182</v>
      </c>
      <c r="E60" s="40" t="s">
        <v>90</v>
      </c>
      <c r="F60" s="39">
        <v>14</v>
      </c>
      <c r="G60" s="39">
        <v>14</v>
      </c>
      <c r="H60" s="92">
        <f t="shared" si="1"/>
        <v>0</v>
      </c>
      <c r="I60" s="92">
        <v>15</v>
      </c>
      <c r="J60" s="92">
        <f t="shared" si="0"/>
        <v>1</v>
      </c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>
        <v>14</v>
      </c>
      <c r="AO60" s="39"/>
      <c r="AP60" s="39"/>
      <c r="AQ60" s="39"/>
    </row>
    <row r="61" spans="1:43" x14ac:dyDescent="0.25">
      <c r="A61" s="63">
        <v>3.54</v>
      </c>
      <c r="B61" s="63" t="s">
        <v>56</v>
      </c>
      <c r="C61" s="62" t="s">
        <v>276</v>
      </c>
      <c r="D61" s="40" t="s">
        <v>92</v>
      </c>
      <c r="E61" s="40" t="s">
        <v>90</v>
      </c>
      <c r="F61" s="39">
        <v>16</v>
      </c>
      <c r="G61" s="39">
        <v>16</v>
      </c>
      <c r="H61" s="92">
        <f t="shared" si="1"/>
        <v>0</v>
      </c>
      <c r="I61" s="92">
        <v>16</v>
      </c>
      <c r="J61" s="92">
        <f t="shared" si="0"/>
        <v>0</v>
      </c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>
        <v>16</v>
      </c>
      <c r="AQ61" s="39"/>
    </row>
    <row r="62" spans="1:43" x14ac:dyDescent="0.25">
      <c r="A62" s="66">
        <v>3.55</v>
      </c>
      <c r="B62" s="69" t="s">
        <v>31</v>
      </c>
      <c r="C62" s="67" t="s">
        <v>88</v>
      </c>
      <c r="D62" s="68" t="s">
        <v>177</v>
      </c>
      <c r="E62" s="40" t="s">
        <v>18</v>
      </c>
      <c r="F62" s="39">
        <v>4</v>
      </c>
      <c r="G62" s="39">
        <v>4</v>
      </c>
      <c r="H62" s="92">
        <f t="shared" si="1"/>
        <v>0</v>
      </c>
      <c r="I62" s="92">
        <v>4</v>
      </c>
      <c r="J62" s="92">
        <v>0</v>
      </c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>
        <v>4</v>
      </c>
      <c r="AI62" s="39"/>
      <c r="AJ62" s="39"/>
      <c r="AK62" s="39"/>
      <c r="AL62" s="39"/>
      <c r="AM62" s="39"/>
      <c r="AN62" s="39"/>
      <c r="AO62" s="39"/>
      <c r="AP62" s="39"/>
      <c r="AQ62" s="39"/>
    </row>
    <row r="63" spans="1:43" x14ac:dyDescent="0.25">
      <c r="A63" s="66">
        <v>3.56</v>
      </c>
      <c r="B63" s="69" t="s">
        <v>31</v>
      </c>
      <c r="C63" s="67" t="s">
        <v>91</v>
      </c>
      <c r="D63" s="68" t="s">
        <v>177</v>
      </c>
      <c r="E63" s="40" t="s">
        <v>18</v>
      </c>
      <c r="F63" s="39">
        <v>7</v>
      </c>
      <c r="G63" s="39">
        <v>7</v>
      </c>
      <c r="H63" s="92">
        <f t="shared" si="1"/>
        <v>0</v>
      </c>
      <c r="I63" s="92">
        <v>7</v>
      </c>
      <c r="J63" s="92">
        <v>0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>
        <v>7</v>
      </c>
      <c r="AK63" s="39"/>
      <c r="AL63" s="39"/>
      <c r="AM63" s="39"/>
      <c r="AN63" s="39"/>
      <c r="AO63" s="39"/>
      <c r="AP63" s="39"/>
      <c r="AQ63" s="39"/>
    </row>
    <row r="64" spans="1:43" x14ac:dyDescent="0.25">
      <c r="A64" s="66">
        <v>3.57</v>
      </c>
      <c r="B64" s="69" t="s">
        <v>32</v>
      </c>
      <c r="C64" s="67" t="s">
        <v>88</v>
      </c>
      <c r="D64" s="68" t="s">
        <v>181</v>
      </c>
      <c r="E64" s="40" t="s">
        <v>18</v>
      </c>
      <c r="F64" s="39">
        <v>4</v>
      </c>
      <c r="G64" s="39">
        <v>4</v>
      </c>
      <c r="H64" s="92">
        <f t="shared" si="1"/>
        <v>0</v>
      </c>
      <c r="I64" s="92">
        <v>4</v>
      </c>
      <c r="J64" s="92">
        <v>0</v>
      </c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>
        <v>4</v>
      </c>
      <c r="AJ64" s="39"/>
      <c r="AK64" s="39"/>
      <c r="AL64" s="39"/>
      <c r="AM64" s="39"/>
      <c r="AN64" s="39"/>
      <c r="AO64" s="39"/>
      <c r="AP64" s="39"/>
      <c r="AQ64" s="39"/>
    </row>
    <row r="65" spans="1:43" x14ac:dyDescent="0.25">
      <c r="A65" s="66">
        <v>3.58</v>
      </c>
      <c r="B65" s="69" t="s">
        <v>32</v>
      </c>
      <c r="C65" s="67" t="s">
        <v>91</v>
      </c>
      <c r="D65" s="68" t="s">
        <v>181</v>
      </c>
      <c r="E65" s="40" t="s">
        <v>18</v>
      </c>
      <c r="F65" s="39">
        <v>7</v>
      </c>
      <c r="G65" s="39">
        <v>7</v>
      </c>
      <c r="H65" s="92">
        <f t="shared" si="1"/>
        <v>0</v>
      </c>
      <c r="I65" s="92">
        <v>7</v>
      </c>
      <c r="J65" s="92">
        <v>0</v>
      </c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>
        <v>7</v>
      </c>
      <c r="AL65" s="39"/>
      <c r="AM65" s="39"/>
      <c r="AN65" s="39"/>
      <c r="AO65" s="39"/>
      <c r="AP65" s="39"/>
      <c r="AQ65" s="39"/>
    </row>
    <row r="66" spans="1:43" x14ac:dyDescent="0.25">
      <c r="A66" s="66">
        <v>3.59</v>
      </c>
      <c r="B66" s="69" t="s">
        <v>33</v>
      </c>
      <c r="C66" s="67" t="s">
        <v>88</v>
      </c>
      <c r="D66" s="68" t="s">
        <v>181</v>
      </c>
      <c r="E66" s="40" t="s">
        <v>18</v>
      </c>
      <c r="F66" s="39">
        <v>3</v>
      </c>
      <c r="G66" s="39">
        <v>3</v>
      </c>
      <c r="H66" s="92">
        <f t="shared" si="1"/>
        <v>0</v>
      </c>
      <c r="I66" s="92">
        <v>3</v>
      </c>
      <c r="J66" s="92">
        <v>0</v>
      </c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>
        <v>3</v>
      </c>
      <c r="AK66" s="39"/>
      <c r="AL66" s="39"/>
      <c r="AM66" s="39"/>
      <c r="AN66" s="39"/>
      <c r="AO66" s="39"/>
      <c r="AP66" s="39"/>
      <c r="AQ66" s="39"/>
    </row>
    <row r="67" spans="1:43" x14ac:dyDescent="0.25">
      <c r="A67" s="66">
        <v>3.6</v>
      </c>
      <c r="B67" s="69" t="s">
        <v>33</v>
      </c>
      <c r="C67" s="67" t="s">
        <v>91</v>
      </c>
      <c r="D67" s="68" t="s">
        <v>92</v>
      </c>
      <c r="E67" s="40" t="s">
        <v>18</v>
      </c>
      <c r="F67" s="39">
        <v>3</v>
      </c>
      <c r="G67" s="39">
        <v>3</v>
      </c>
      <c r="H67" s="92">
        <f t="shared" si="1"/>
        <v>0</v>
      </c>
      <c r="I67" s="92">
        <v>3</v>
      </c>
      <c r="J67" s="92">
        <v>0</v>
      </c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>
        <v>3</v>
      </c>
      <c r="AM67" s="39"/>
      <c r="AN67" s="39"/>
      <c r="AO67" s="39"/>
      <c r="AP67" s="39"/>
      <c r="AQ67" s="39"/>
    </row>
    <row r="68" spans="1:43" x14ac:dyDescent="0.25">
      <c r="A68" s="66">
        <v>3.61</v>
      </c>
      <c r="B68" s="69" t="s">
        <v>34</v>
      </c>
      <c r="C68" s="67" t="s">
        <v>88</v>
      </c>
      <c r="D68" s="68" t="s">
        <v>177</v>
      </c>
      <c r="E68" s="40" t="s">
        <v>18</v>
      </c>
      <c r="F68" s="39">
        <v>4</v>
      </c>
      <c r="G68" s="39">
        <v>4</v>
      </c>
      <c r="H68" s="92">
        <f t="shared" si="1"/>
        <v>0</v>
      </c>
      <c r="I68" s="92">
        <v>4</v>
      </c>
      <c r="J68" s="92">
        <v>0</v>
      </c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>
        <v>4</v>
      </c>
      <c r="AL68" s="39"/>
      <c r="AM68" s="39"/>
      <c r="AN68" s="39"/>
      <c r="AO68" s="39"/>
      <c r="AP68" s="39"/>
      <c r="AQ68" s="39"/>
    </row>
    <row r="69" spans="1:43" x14ac:dyDescent="0.25">
      <c r="A69" s="66">
        <v>3.62</v>
      </c>
      <c r="B69" s="69" t="s">
        <v>34</v>
      </c>
      <c r="C69" s="67" t="s">
        <v>91</v>
      </c>
      <c r="D69" s="68" t="s">
        <v>92</v>
      </c>
      <c r="E69" s="40" t="s">
        <v>18</v>
      </c>
      <c r="F69" s="39">
        <v>4</v>
      </c>
      <c r="G69" s="39">
        <v>4</v>
      </c>
      <c r="H69" s="92">
        <f t="shared" si="1"/>
        <v>0</v>
      </c>
      <c r="I69" s="92">
        <v>4</v>
      </c>
      <c r="J69" s="92">
        <v>0</v>
      </c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>
        <v>4</v>
      </c>
      <c r="AN69" s="39"/>
      <c r="AO69" s="39"/>
      <c r="AP69" s="39"/>
      <c r="AQ69" s="39"/>
    </row>
    <row r="70" spans="1:43" x14ac:dyDescent="0.25">
      <c r="A70" s="66">
        <v>3.63</v>
      </c>
      <c r="B70" s="69" t="s">
        <v>42</v>
      </c>
      <c r="C70" s="67" t="s">
        <v>88</v>
      </c>
      <c r="D70" s="68" t="s">
        <v>182</v>
      </c>
      <c r="E70" s="40" t="s">
        <v>18</v>
      </c>
      <c r="F70" s="39">
        <v>6</v>
      </c>
      <c r="G70" s="39">
        <v>6</v>
      </c>
      <c r="H70" s="92">
        <f t="shared" si="1"/>
        <v>0</v>
      </c>
      <c r="I70" s="92">
        <v>6</v>
      </c>
      <c r="J70" s="92">
        <v>0</v>
      </c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>
        <v>6</v>
      </c>
      <c r="AP70" s="39"/>
      <c r="AQ70" s="39"/>
    </row>
    <row r="71" spans="1:43" x14ac:dyDescent="0.25">
      <c r="A71" s="66">
        <v>3.64</v>
      </c>
      <c r="B71" s="69" t="s">
        <v>42</v>
      </c>
      <c r="C71" s="67" t="s">
        <v>91</v>
      </c>
      <c r="D71" s="68" t="s">
        <v>182</v>
      </c>
      <c r="E71" s="40" t="s">
        <v>18</v>
      </c>
      <c r="F71" s="39">
        <v>6</v>
      </c>
      <c r="G71" s="39">
        <v>6</v>
      </c>
      <c r="H71" s="92">
        <f t="shared" si="1"/>
        <v>0</v>
      </c>
      <c r="I71" s="92">
        <v>6</v>
      </c>
      <c r="J71" s="92">
        <v>0</v>
      </c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>
        <v>6</v>
      </c>
      <c r="AO71" s="39"/>
      <c r="AP71" s="39"/>
      <c r="AQ71" s="39"/>
    </row>
    <row r="72" spans="1:43" x14ac:dyDescent="0.25">
      <c r="A72" s="95"/>
      <c r="B72" s="92"/>
      <c r="C72" s="96"/>
      <c r="D72" s="96"/>
      <c r="E72" s="96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</row>
    <row r="73" spans="1:43" x14ac:dyDescent="0.25">
      <c r="A73" s="57"/>
      <c r="B73" s="58"/>
      <c r="C73" s="59"/>
      <c r="D73" s="59"/>
      <c r="E73" s="93" t="s">
        <v>93</v>
      </c>
      <c r="F73" s="94">
        <f>SUM(F8:F61)</f>
        <v>508</v>
      </c>
      <c r="G73" s="94">
        <f>SUM(G8:G61)</f>
        <v>440</v>
      </c>
      <c r="H73" s="94">
        <f>SUM(H8:H59)</f>
        <v>68</v>
      </c>
      <c r="I73" s="94">
        <f>SUM(I8:I61)</f>
        <v>441</v>
      </c>
      <c r="J73" s="94">
        <f>SUM(J8:J61)</f>
        <v>-39</v>
      </c>
      <c r="K73" s="94">
        <f>SUBTOTAL(9,K20:K71)</f>
        <v>0</v>
      </c>
      <c r="L73" s="94">
        <f t="shared" ref="L73:AQ73" si="2">SUBTOTAL(9,L20:L71)</f>
        <v>0</v>
      </c>
      <c r="M73" s="94">
        <f t="shared" si="2"/>
        <v>4</v>
      </c>
      <c r="N73" s="94">
        <f t="shared" si="2"/>
        <v>8</v>
      </c>
      <c r="O73" s="94">
        <f t="shared" si="2"/>
        <v>4</v>
      </c>
      <c r="P73" s="94">
        <f t="shared" si="2"/>
        <v>4</v>
      </c>
      <c r="Q73" s="94">
        <f t="shared" si="2"/>
        <v>10</v>
      </c>
      <c r="R73" s="94">
        <f t="shared" si="2"/>
        <v>18</v>
      </c>
      <c r="S73" s="94">
        <f t="shared" si="2"/>
        <v>16</v>
      </c>
      <c r="T73" s="94">
        <f t="shared" si="2"/>
        <v>20</v>
      </c>
      <c r="U73" s="94">
        <f t="shared" si="2"/>
        <v>8</v>
      </c>
      <c r="V73" s="94">
        <f t="shared" si="2"/>
        <v>26</v>
      </c>
      <c r="W73" s="94">
        <f t="shared" si="2"/>
        <v>14</v>
      </c>
      <c r="X73" s="94">
        <f t="shared" si="2"/>
        <v>14</v>
      </c>
      <c r="Y73" s="94">
        <f t="shared" si="2"/>
        <v>14</v>
      </c>
      <c r="Z73" s="94">
        <f t="shared" si="2"/>
        <v>14</v>
      </c>
      <c r="AA73" s="94">
        <f t="shared" si="2"/>
        <v>10</v>
      </c>
      <c r="AB73" s="94">
        <f t="shared" si="2"/>
        <v>10</v>
      </c>
      <c r="AC73" s="94">
        <f t="shared" si="2"/>
        <v>10</v>
      </c>
      <c r="AD73" s="94">
        <f t="shared" si="2"/>
        <v>34</v>
      </c>
      <c r="AE73" s="94">
        <f t="shared" si="2"/>
        <v>30</v>
      </c>
      <c r="AF73" s="94">
        <f t="shared" si="2"/>
        <v>12</v>
      </c>
      <c r="AG73" s="94">
        <f t="shared" si="2"/>
        <v>20</v>
      </c>
      <c r="AH73" s="94">
        <f t="shared" si="2"/>
        <v>4</v>
      </c>
      <c r="AI73" s="94">
        <f t="shared" si="2"/>
        <v>12</v>
      </c>
      <c r="AJ73" s="94">
        <f t="shared" si="2"/>
        <v>22</v>
      </c>
      <c r="AK73" s="94">
        <f t="shared" si="2"/>
        <v>27</v>
      </c>
      <c r="AL73" s="94">
        <f t="shared" si="2"/>
        <v>3</v>
      </c>
      <c r="AM73" s="94">
        <f t="shared" si="2"/>
        <v>4</v>
      </c>
      <c r="AN73" s="94">
        <f t="shared" si="2"/>
        <v>24</v>
      </c>
      <c r="AO73" s="94">
        <f t="shared" si="2"/>
        <v>6</v>
      </c>
      <c r="AP73" s="94">
        <f t="shared" si="2"/>
        <v>22</v>
      </c>
      <c r="AQ73" s="94">
        <f t="shared" si="2"/>
        <v>0</v>
      </c>
    </row>
    <row r="74" spans="1:43" x14ac:dyDescent="0.25">
      <c r="A74" s="57"/>
      <c r="B74" s="58"/>
      <c r="C74" s="59"/>
      <c r="D74" s="59"/>
      <c r="E74" s="93" t="s">
        <v>94</v>
      </c>
      <c r="F74" s="94"/>
      <c r="G74" s="94"/>
      <c r="H74" s="94"/>
      <c r="I74" s="94"/>
      <c r="J74" s="94"/>
      <c r="K74" s="94">
        <f>F73-K73</f>
        <v>508</v>
      </c>
      <c r="L74" s="94">
        <f t="shared" ref="L74:AE74" si="3">K74-L73</f>
        <v>508</v>
      </c>
      <c r="M74" s="94">
        <f t="shared" si="3"/>
        <v>504</v>
      </c>
      <c r="N74" s="94">
        <f t="shared" si="3"/>
        <v>496</v>
      </c>
      <c r="O74" s="94">
        <f t="shared" si="3"/>
        <v>492</v>
      </c>
      <c r="P74" s="94">
        <f t="shared" si="3"/>
        <v>488</v>
      </c>
      <c r="Q74" s="94">
        <f t="shared" si="3"/>
        <v>478</v>
      </c>
      <c r="R74" s="94">
        <f t="shared" si="3"/>
        <v>460</v>
      </c>
      <c r="S74" s="94">
        <f t="shared" si="3"/>
        <v>444</v>
      </c>
      <c r="T74" s="94">
        <f t="shared" si="3"/>
        <v>424</v>
      </c>
      <c r="U74" s="94">
        <f t="shared" si="3"/>
        <v>416</v>
      </c>
      <c r="V74" s="94">
        <f t="shared" si="3"/>
        <v>390</v>
      </c>
      <c r="W74" s="94">
        <f t="shared" si="3"/>
        <v>376</v>
      </c>
      <c r="X74" s="94">
        <f t="shared" si="3"/>
        <v>362</v>
      </c>
      <c r="Y74" s="94">
        <f t="shared" si="3"/>
        <v>348</v>
      </c>
      <c r="Z74" s="94">
        <f t="shared" si="3"/>
        <v>334</v>
      </c>
      <c r="AA74" s="94">
        <f t="shared" si="3"/>
        <v>324</v>
      </c>
      <c r="AB74" s="94">
        <f t="shared" si="3"/>
        <v>314</v>
      </c>
      <c r="AC74" s="94">
        <f t="shared" si="3"/>
        <v>304</v>
      </c>
      <c r="AD74" s="94">
        <f t="shared" si="3"/>
        <v>270</v>
      </c>
      <c r="AE74" s="94">
        <f t="shared" si="3"/>
        <v>240</v>
      </c>
      <c r="AF74" s="94">
        <f t="shared" ref="AF74" si="4">AE74-AF73</f>
        <v>228</v>
      </c>
      <c r="AG74" s="94">
        <f t="shared" ref="AG74" si="5">AF74-AG73</f>
        <v>208</v>
      </c>
      <c r="AH74" s="94">
        <f t="shared" ref="AH74" si="6">AG74-AH73</f>
        <v>204</v>
      </c>
      <c r="AI74" s="94">
        <f t="shared" ref="AI74" si="7">AH74-AI73</f>
        <v>192</v>
      </c>
      <c r="AJ74" s="94">
        <f t="shared" ref="AJ74" si="8">AI74-AJ73</f>
        <v>170</v>
      </c>
      <c r="AK74" s="94">
        <f t="shared" ref="AK74" si="9">AJ74-AK73</f>
        <v>143</v>
      </c>
      <c r="AL74" s="94">
        <f t="shared" ref="AL74" si="10">AK74-AL73</f>
        <v>140</v>
      </c>
      <c r="AM74" s="94">
        <f t="shared" ref="AM74" si="11">AL74-AM73</f>
        <v>136</v>
      </c>
      <c r="AN74" s="94">
        <f t="shared" ref="AN74" si="12">AM74-AN73</f>
        <v>112</v>
      </c>
      <c r="AO74" s="94">
        <f t="shared" ref="AO74" si="13">AN74-AO73</f>
        <v>106</v>
      </c>
      <c r="AP74" s="94">
        <f t="shared" ref="AP74" si="14">AO74-AP73</f>
        <v>84</v>
      </c>
      <c r="AQ74" s="94">
        <f t="shared" ref="AQ74" si="15">AP74-AQ73</f>
        <v>84</v>
      </c>
    </row>
    <row r="75" spans="1:43" x14ac:dyDescent="0.25">
      <c r="A75" s="57"/>
      <c r="B75" s="58"/>
      <c r="C75" s="59"/>
      <c r="D75" s="59"/>
      <c r="E75" s="93" t="s">
        <v>95</v>
      </c>
      <c r="F75" s="94"/>
      <c r="G75" s="94"/>
      <c r="H75" s="94"/>
      <c r="I75" s="94"/>
      <c r="J75" s="94"/>
      <c r="K75" s="94">
        <f>K73</f>
        <v>0</v>
      </c>
      <c r="L75" s="94">
        <f t="shared" ref="L75:AE75" si="16">K75+L73</f>
        <v>0</v>
      </c>
      <c r="M75" s="94">
        <f t="shared" si="16"/>
        <v>4</v>
      </c>
      <c r="N75" s="94">
        <f t="shared" si="16"/>
        <v>12</v>
      </c>
      <c r="O75" s="94">
        <f t="shared" si="16"/>
        <v>16</v>
      </c>
      <c r="P75" s="94">
        <f t="shared" si="16"/>
        <v>20</v>
      </c>
      <c r="Q75" s="94">
        <f t="shared" si="16"/>
        <v>30</v>
      </c>
      <c r="R75" s="94">
        <f t="shared" si="16"/>
        <v>48</v>
      </c>
      <c r="S75" s="94">
        <f t="shared" si="16"/>
        <v>64</v>
      </c>
      <c r="T75" s="94">
        <f t="shared" si="16"/>
        <v>84</v>
      </c>
      <c r="U75" s="94">
        <f t="shared" si="16"/>
        <v>92</v>
      </c>
      <c r="V75" s="94">
        <f t="shared" si="16"/>
        <v>118</v>
      </c>
      <c r="W75" s="94">
        <f t="shared" si="16"/>
        <v>132</v>
      </c>
      <c r="X75" s="94">
        <f t="shared" si="16"/>
        <v>146</v>
      </c>
      <c r="Y75" s="94">
        <f t="shared" si="16"/>
        <v>160</v>
      </c>
      <c r="Z75" s="94">
        <f t="shared" si="16"/>
        <v>174</v>
      </c>
      <c r="AA75" s="94">
        <f t="shared" si="16"/>
        <v>184</v>
      </c>
      <c r="AB75" s="94">
        <f t="shared" si="16"/>
        <v>194</v>
      </c>
      <c r="AC75" s="94">
        <f t="shared" si="16"/>
        <v>204</v>
      </c>
      <c r="AD75" s="94">
        <f t="shared" si="16"/>
        <v>238</v>
      </c>
      <c r="AE75" s="94">
        <f t="shared" si="16"/>
        <v>268</v>
      </c>
      <c r="AF75" s="94">
        <f t="shared" ref="AF75" si="17">AE75+AF73</f>
        <v>280</v>
      </c>
      <c r="AG75" s="94">
        <f t="shared" ref="AG75" si="18">AF75+AG73</f>
        <v>300</v>
      </c>
      <c r="AH75" s="94">
        <f t="shared" ref="AH75" si="19">AG75+AH73</f>
        <v>304</v>
      </c>
      <c r="AI75" s="94">
        <f t="shared" ref="AI75" si="20">AH75+AI73</f>
        <v>316</v>
      </c>
      <c r="AJ75" s="94">
        <f t="shared" ref="AJ75" si="21">AI75+AJ73</f>
        <v>338</v>
      </c>
      <c r="AK75" s="94">
        <f t="shared" ref="AK75" si="22">AJ75+AK73</f>
        <v>365</v>
      </c>
      <c r="AL75" s="94">
        <f t="shared" ref="AL75" si="23">AK75+AL73</f>
        <v>368</v>
      </c>
      <c r="AM75" s="94">
        <f t="shared" ref="AM75" si="24">AL75+AM73</f>
        <v>372</v>
      </c>
      <c r="AN75" s="94">
        <f t="shared" ref="AN75" si="25">AM75+AN73</f>
        <v>396</v>
      </c>
      <c r="AO75" s="94">
        <f t="shared" ref="AO75" si="26">AN75+AO73</f>
        <v>402</v>
      </c>
      <c r="AP75" s="94">
        <f t="shared" ref="AP75" si="27">AO75+AP73</f>
        <v>424</v>
      </c>
      <c r="AQ75" s="94">
        <f t="shared" ref="AQ75" si="28">AP75+AQ73</f>
        <v>424</v>
      </c>
    </row>
    <row r="76" spans="1:43" x14ac:dyDescent="0.25">
      <c r="A76" s="54"/>
    </row>
    <row r="77" spans="1:43" x14ac:dyDescent="0.25">
      <c r="A77" s="172"/>
      <c r="B77" s="172"/>
      <c r="C77" s="172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</row>
    <row r="79" spans="1:43" x14ac:dyDescent="0.25">
      <c r="A79" s="172"/>
      <c r="B79" s="172"/>
      <c r="J79" s="60"/>
    </row>
    <row r="80" spans="1:43" x14ac:dyDescent="0.25">
      <c r="A80" s="54"/>
    </row>
    <row r="81" spans="1:1" x14ac:dyDescent="0.25">
      <c r="A81" s="54"/>
    </row>
    <row r="82" spans="1:1" x14ac:dyDescent="0.25">
      <c r="A82" s="54"/>
    </row>
    <row r="83" spans="1:1" x14ac:dyDescent="0.25">
      <c r="A83" s="54"/>
    </row>
    <row r="84" spans="1:1" x14ac:dyDescent="0.25">
      <c r="A84" s="54"/>
    </row>
    <row r="85" spans="1:1" x14ac:dyDescent="0.25">
      <c r="A85" s="54"/>
    </row>
    <row r="86" spans="1:1" x14ac:dyDescent="0.25">
      <c r="A86" s="54"/>
    </row>
    <row r="87" spans="1:1" x14ac:dyDescent="0.25">
      <c r="A87" s="54"/>
    </row>
    <row r="88" spans="1:1" x14ac:dyDescent="0.25">
      <c r="A88" s="54"/>
    </row>
    <row r="89" spans="1:1" x14ac:dyDescent="0.25">
      <c r="A89" s="54"/>
    </row>
    <row r="90" spans="1:1" x14ac:dyDescent="0.25">
      <c r="A90" s="54"/>
    </row>
    <row r="91" spans="1:1" x14ac:dyDescent="0.25">
      <c r="A91" s="54"/>
    </row>
    <row r="92" spans="1:1" x14ac:dyDescent="0.25">
      <c r="A92" s="54"/>
    </row>
    <row r="93" spans="1:1" x14ac:dyDescent="0.25">
      <c r="A93" s="54"/>
    </row>
    <row r="94" spans="1:1" x14ac:dyDescent="0.25">
      <c r="A94" s="54"/>
    </row>
    <row r="95" spans="1:1" x14ac:dyDescent="0.25">
      <c r="A95" s="54"/>
    </row>
    <row r="96" spans="1:1" x14ac:dyDescent="0.25">
      <c r="A96" s="54"/>
    </row>
    <row r="97" spans="1:1" x14ac:dyDescent="0.25">
      <c r="A97" s="54"/>
    </row>
    <row r="98" spans="1:1" x14ac:dyDescent="0.25">
      <c r="A98" s="54"/>
    </row>
    <row r="99" spans="1:1" x14ac:dyDescent="0.25">
      <c r="A99" s="54"/>
    </row>
    <row r="100" spans="1:1" x14ac:dyDescent="0.25">
      <c r="A100" s="54"/>
    </row>
    <row r="101" spans="1:1" x14ac:dyDescent="0.25">
      <c r="A101" s="54"/>
    </row>
    <row r="102" spans="1:1" x14ac:dyDescent="0.25">
      <c r="A102" s="54"/>
    </row>
    <row r="103" spans="1:1" x14ac:dyDescent="0.25">
      <c r="A103" s="54"/>
    </row>
    <row r="104" spans="1:1" x14ac:dyDescent="0.25">
      <c r="A104" s="54"/>
    </row>
    <row r="105" spans="1:1" x14ac:dyDescent="0.25">
      <c r="A105" s="54"/>
    </row>
    <row r="106" spans="1:1" x14ac:dyDescent="0.25">
      <c r="A106" s="54"/>
    </row>
    <row r="107" spans="1:1" x14ac:dyDescent="0.25">
      <c r="A107" s="54"/>
    </row>
    <row r="108" spans="1:1" x14ac:dyDescent="0.25">
      <c r="A108" s="54"/>
    </row>
    <row r="109" spans="1:1" x14ac:dyDescent="0.25">
      <c r="A109" s="54"/>
    </row>
    <row r="110" spans="1:1" x14ac:dyDescent="0.25">
      <c r="A110" s="54"/>
    </row>
    <row r="111" spans="1:1" x14ac:dyDescent="0.25">
      <c r="A111" s="54"/>
    </row>
    <row r="112" spans="1:1" x14ac:dyDescent="0.25">
      <c r="A112" s="54"/>
    </row>
    <row r="113" spans="1:2" x14ac:dyDescent="0.25">
      <c r="A113" s="54"/>
    </row>
    <row r="114" spans="1:2" x14ac:dyDescent="0.25">
      <c r="A114" s="54"/>
    </row>
    <row r="115" spans="1:2" x14ac:dyDescent="0.25">
      <c r="A115" s="54"/>
    </row>
    <row r="116" spans="1:2" x14ac:dyDescent="0.25">
      <c r="A116" s="54"/>
    </row>
    <row r="117" spans="1:2" x14ac:dyDescent="0.25">
      <c r="A117" s="54"/>
    </row>
    <row r="118" spans="1:2" x14ac:dyDescent="0.25">
      <c r="A118" s="54"/>
    </row>
    <row r="119" spans="1:2" x14ac:dyDescent="0.25">
      <c r="A119" s="54"/>
    </row>
    <row r="120" spans="1:2" x14ac:dyDescent="0.25">
      <c r="A120" s="54"/>
    </row>
    <row r="121" spans="1:2" x14ac:dyDescent="0.25">
      <c r="A121" s="54"/>
    </row>
    <row r="122" spans="1:2" x14ac:dyDescent="0.25">
      <c r="A122" s="172"/>
      <c r="B122" s="172"/>
    </row>
    <row r="123" spans="1:2" x14ac:dyDescent="0.25">
      <c r="A123" s="54"/>
    </row>
    <row r="124" spans="1:2" x14ac:dyDescent="0.25">
      <c r="A124" s="54"/>
    </row>
    <row r="125" spans="1:2" x14ac:dyDescent="0.25">
      <c r="A125" s="54"/>
    </row>
    <row r="126" spans="1:2" x14ac:dyDescent="0.25">
      <c r="A126" s="54"/>
    </row>
    <row r="127" spans="1:2" x14ac:dyDescent="0.25">
      <c r="A127" s="54"/>
    </row>
    <row r="128" spans="1:2" x14ac:dyDescent="0.25">
      <c r="A128" s="54"/>
    </row>
    <row r="129" spans="1:1" x14ac:dyDescent="0.25">
      <c r="A129" s="54"/>
    </row>
    <row r="130" spans="1:1" x14ac:dyDescent="0.25">
      <c r="A130" s="54"/>
    </row>
    <row r="131" spans="1:1" x14ac:dyDescent="0.25">
      <c r="A131" s="54"/>
    </row>
    <row r="132" spans="1:1" x14ac:dyDescent="0.25">
      <c r="A132" s="54"/>
    </row>
    <row r="133" spans="1:1" x14ac:dyDescent="0.25">
      <c r="A133" s="54"/>
    </row>
    <row r="134" spans="1:1" x14ac:dyDescent="0.25">
      <c r="A134" s="54"/>
    </row>
    <row r="135" spans="1:1" x14ac:dyDescent="0.25">
      <c r="A135" s="54"/>
    </row>
    <row r="136" spans="1:1" x14ac:dyDescent="0.25">
      <c r="A136" s="54"/>
    </row>
    <row r="137" spans="1:1" x14ac:dyDescent="0.25">
      <c r="A137" s="54"/>
    </row>
    <row r="138" spans="1:1" x14ac:dyDescent="0.25">
      <c r="A138" s="54"/>
    </row>
    <row r="139" spans="1:1" x14ac:dyDescent="0.25">
      <c r="A139" s="54"/>
    </row>
    <row r="140" spans="1:1" x14ac:dyDescent="0.25">
      <c r="A140" s="54"/>
    </row>
    <row r="141" spans="1:1" x14ac:dyDescent="0.25">
      <c r="A141" s="54"/>
    </row>
    <row r="142" spans="1:1" x14ac:dyDescent="0.25">
      <c r="A142" s="54"/>
    </row>
    <row r="143" spans="1:1" x14ac:dyDescent="0.25">
      <c r="A143" s="54"/>
    </row>
    <row r="144" spans="1:1" x14ac:dyDescent="0.25">
      <c r="A144" s="54"/>
    </row>
    <row r="145" spans="1:1" x14ac:dyDescent="0.25">
      <c r="A145" s="54"/>
    </row>
    <row r="146" spans="1:1" x14ac:dyDescent="0.25">
      <c r="A146" s="54"/>
    </row>
    <row r="147" spans="1:1" x14ac:dyDescent="0.25">
      <c r="A147" s="54"/>
    </row>
    <row r="148" spans="1:1" x14ac:dyDescent="0.25">
      <c r="A148" s="54"/>
    </row>
    <row r="149" spans="1:1" x14ac:dyDescent="0.25">
      <c r="A149" s="54"/>
    </row>
    <row r="150" spans="1:1" x14ac:dyDescent="0.25">
      <c r="A150" s="54"/>
    </row>
    <row r="151" spans="1:1" x14ac:dyDescent="0.25">
      <c r="A151" s="54"/>
    </row>
    <row r="152" spans="1:1" x14ac:dyDescent="0.25">
      <c r="A152" s="54"/>
    </row>
    <row r="153" spans="1:1" x14ac:dyDescent="0.25">
      <c r="A153" s="54"/>
    </row>
    <row r="154" spans="1:1" x14ac:dyDescent="0.25">
      <c r="A154" s="54"/>
    </row>
    <row r="155" spans="1:1" x14ac:dyDescent="0.25">
      <c r="A155" s="54"/>
    </row>
    <row r="156" spans="1:1" x14ac:dyDescent="0.25">
      <c r="A156" s="54"/>
    </row>
    <row r="157" spans="1:1" x14ac:dyDescent="0.25">
      <c r="A157" s="54"/>
    </row>
    <row r="158" spans="1:1" x14ac:dyDescent="0.25">
      <c r="A158" s="54"/>
    </row>
    <row r="159" spans="1:1" x14ac:dyDescent="0.25">
      <c r="A159" s="54"/>
    </row>
    <row r="160" spans="1:1" x14ac:dyDescent="0.25">
      <c r="A160" s="54"/>
    </row>
    <row r="161" spans="1:1" x14ac:dyDescent="0.25">
      <c r="A161" s="54"/>
    </row>
    <row r="162" spans="1:1" x14ac:dyDescent="0.25">
      <c r="A162" s="54"/>
    </row>
    <row r="163" spans="1:1" x14ac:dyDescent="0.25">
      <c r="A163" s="54"/>
    </row>
    <row r="164" spans="1:1" x14ac:dyDescent="0.25">
      <c r="A164" s="54"/>
    </row>
    <row r="165" spans="1:1" x14ac:dyDescent="0.25">
      <c r="A165" s="54"/>
    </row>
    <row r="166" spans="1:1" x14ac:dyDescent="0.25">
      <c r="A166" s="54"/>
    </row>
    <row r="167" spans="1:1" x14ac:dyDescent="0.25">
      <c r="A167" s="54"/>
    </row>
    <row r="168" spans="1:1" x14ac:dyDescent="0.25">
      <c r="A168" s="54"/>
    </row>
    <row r="169" spans="1:1" x14ac:dyDescent="0.25">
      <c r="A169" s="54"/>
    </row>
    <row r="170" spans="1:1" x14ac:dyDescent="0.25">
      <c r="A170" s="54"/>
    </row>
    <row r="171" spans="1:1" x14ac:dyDescent="0.25">
      <c r="A171" s="54"/>
    </row>
    <row r="172" spans="1:1" x14ac:dyDescent="0.25">
      <c r="A172" s="54"/>
    </row>
    <row r="173" spans="1:1" x14ac:dyDescent="0.25">
      <c r="A173" s="54"/>
    </row>
    <row r="174" spans="1:1" x14ac:dyDescent="0.25">
      <c r="A174" s="54"/>
    </row>
    <row r="175" spans="1:1" x14ac:dyDescent="0.25">
      <c r="A175" s="54"/>
    </row>
    <row r="176" spans="1:1" x14ac:dyDescent="0.25">
      <c r="A176" s="54"/>
    </row>
    <row r="177" spans="1:1" x14ac:dyDescent="0.25">
      <c r="A177" s="54"/>
    </row>
    <row r="178" spans="1:1" x14ac:dyDescent="0.25">
      <c r="A178" s="54"/>
    </row>
    <row r="179" spans="1:1" x14ac:dyDescent="0.25">
      <c r="A179" s="54"/>
    </row>
    <row r="180" spans="1:1" x14ac:dyDescent="0.25">
      <c r="A180" s="54"/>
    </row>
    <row r="181" spans="1:1" x14ac:dyDescent="0.25">
      <c r="A181" s="54"/>
    </row>
    <row r="182" spans="1:1" x14ac:dyDescent="0.25">
      <c r="A182" s="54"/>
    </row>
    <row r="183" spans="1:1" x14ac:dyDescent="0.25">
      <c r="A183" s="54"/>
    </row>
    <row r="184" spans="1:1" x14ac:dyDescent="0.25">
      <c r="A184" s="54"/>
    </row>
    <row r="185" spans="1:1" x14ac:dyDescent="0.25">
      <c r="A185" s="54"/>
    </row>
    <row r="186" spans="1:1" x14ac:dyDescent="0.25">
      <c r="A186" s="54"/>
    </row>
    <row r="187" spans="1:1" x14ac:dyDescent="0.25">
      <c r="A187" s="54"/>
    </row>
    <row r="188" spans="1:1" x14ac:dyDescent="0.25">
      <c r="A188" s="54"/>
    </row>
    <row r="189" spans="1:1" x14ac:dyDescent="0.25">
      <c r="A189" s="54"/>
    </row>
    <row r="190" spans="1:1" x14ac:dyDescent="0.25">
      <c r="A190" s="54"/>
    </row>
    <row r="191" spans="1:1" x14ac:dyDescent="0.25">
      <c r="A191" s="54"/>
    </row>
    <row r="192" spans="1:1" x14ac:dyDescent="0.25">
      <c r="A192" s="54"/>
    </row>
    <row r="193" spans="1:1" x14ac:dyDescent="0.25">
      <c r="A193" s="54"/>
    </row>
    <row r="194" spans="1:1" x14ac:dyDescent="0.25">
      <c r="A194" s="54"/>
    </row>
    <row r="195" spans="1:1" x14ac:dyDescent="0.25">
      <c r="A195" s="54"/>
    </row>
    <row r="196" spans="1:1" x14ac:dyDescent="0.25">
      <c r="A196" s="54"/>
    </row>
    <row r="197" spans="1:1" x14ac:dyDescent="0.25">
      <c r="A197" s="54"/>
    </row>
    <row r="198" spans="1:1" x14ac:dyDescent="0.25">
      <c r="A198" s="54"/>
    </row>
    <row r="199" spans="1:1" x14ac:dyDescent="0.25">
      <c r="A199" s="54"/>
    </row>
    <row r="200" spans="1:1" x14ac:dyDescent="0.25">
      <c r="A200" s="54"/>
    </row>
    <row r="201" spans="1:1" x14ac:dyDescent="0.25">
      <c r="A201" s="54"/>
    </row>
    <row r="202" spans="1:1" x14ac:dyDescent="0.25">
      <c r="A202" s="54"/>
    </row>
    <row r="203" spans="1:1" x14ac:dyDescent="0.25">
      <c r="A203" s="54"/>
    </row>
    <row r="204" spans="1:1" x14ac:dyDescent="0.25">
      <c r="A204" s="54"/>
    </row>
    <row r="205" spans="1:1" x14ac:dyDescent="0.25">
      <c r="A205" s="54"/>
    </row>
    <row r="206" spans="1:1" x14ac:dyDescent="0.25">
      <c r="A206" s="54"/>
    </row>
    <row r="207" spans="1:1" x14ac:dyDescent="0.25">
      <c r="A207" s="54"/>
    </row>
    <row r="208" spans="1:1" x14ac:dyDescent="0.25">
      <c r="A208" s="54"/>
    </row>
    <row r="209" spans="1:1" x14ac:dyDescent="0.25">
      <c r="A209" s="54"/>
    </row>
    <row r="210" spans="1:1" x14ac:dyDescent="0.25">
      <c r="A210" s="54"/>
    </row>
    <row r="211" spans="1:1" x14ac:dyDescent="0.25">
      <c r="A211" s="54"/>
    </row>
    <row r="212" spans="1:1" x14ac:dyDescent="0.25">
      <c r="A212" s="54"/>
    </row>
    <row r="213" spans="1:1" x14ac:dyDescent="0.25">
      <c r="A213" s="54"/>
    </row>
    <row r="214" spans="1:1" x14ac:dyDescent="0.25">
      <c r="A214" s="54"/>
    </row>
    <row r="215" spans="1:1" x14ac:dyDescent="0.25">
      <c r="A215" s="54"/>
    </row>
    <row r="216" spans="1:1" x14ac:dyDescent="0.25">
      <c r="A216" s="54"/>
    </row>
    <row r="217" spans="1:1" x14ac:dyDescent="0.25">
      <c r="A217" s="54"/>
    </row>
    <row r="218" spans="1:1" x14ac:dyDescent="0.25">
      <c r="A218" s="54"/>
    </row>
    <row r="219" spans="1:1" x14ac:dyDescent="0.25">
      <c r="A219" s="54"/>
    </row>
    <row r="220" spans="1:1" x14ac:dyDescent="0.25">
      <c r="A220" s="54"/>
    </row>
    <row r="221" spans="1:1" x14ac:dyDescent="0.25">
      <c r="A221" s="54"/>
    </row>
    <row r="222" spans="1:1" x14ac:dyDescent="0.25">
      <c r="A222" s="54"/>
    </row>
    <row r="223" spans="1:1" x14ac:dyDescent="0.25">
      <c r="A223" s="54"/>
    </row>
    <row r="224" spans="1:1" x14ac:dyDescent="0.25">
      <c r="A224" s="54"/>
    </row>
    <row r="225" spans="1:1" x14ac:dyDescent="0.25">
      <c r="A225" s="54"/>
    </row>
    <row r="226" spans="1:1" x14ac:dyDescent="0.25">
      <c r="A226" s="54"/>
    </row>
    <row r="227" spans="1:1" x14ac:dyDescent="0.25">
      <c r="A227" s="54"/>
    </row>
    <row r="228" spans="1:1" x14ac:dyDescent="0.25">
      <c r="A228" s="54"/>
    </row>
    <row r="229" spans="1:1" x14ac:dyDescent="0.25">
      <c r="A229" s="54"/>
    </row>
    <row r="230" spans="1:1" x14ac:dyDescent="0.25">
      <c r="A230" s="54"/>
    </row>
    <row r="231" spans="1:1" x14ac:dyDescent="0.25">
      <c r="A231" s="54"/>
    </row>
    <row r="232" spans="1:1" x14ac:dyDescent="0.25">
      <c r="A232" s="54"/>
    </row>
    <row r="233" spans="1:1" x14ac:dyDescent="0.25">
      <c r="A233" s="54"/>
    </row>
    <row r="234" spans="1:1" x14ac:dyDescent="0.25">
      <c r="A234" s="54"/>
    </row>
  </sheetData>
  <mergeCells count="12">
    <mergeCell ref="J3:J6"/>
    <mergeCell ref="K3:T6"/>
    <mergeCell ref="D4:D6"/>
    <mergeCell ref="H4:H6"/>
    <mergeCell ref="I4:I6"/>
    <mergeCell ref="F4:F6"/>
    <mergeCell ref="E4:E6"/>
    <mergeCell ref="A77:C77"/>
    <mergeCell ref="A79:B79"/>
    <mergeCell ref="A122:B122"/>
    <mergeCell ref="A5:C5"/>
    <mergeCell ref="G2:G6"/>
  </mergeCells>
  <phoneticPr fontId="17" type="noConversion"/>
  <pageMargins left="0.25" right="0.25" top="0.75" bottom="0.75" header="0" footer="0"/>
  <pageSetup paperSize="8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ADB"/>
    <pageSetUpPr fitToPage="1"/>
  </sheetPr>
  <dimension ref="A1:AJ168"/>
  <sheetViews>
    <sheetView showGridLines="0" tabSelected="1" topLeftCell="A29" zoomScale="70" zoomScaleNormal="70" workbookViewId="0">
      <selection activeCell="Q54" sqref="Q54"/>
    </sheetView>
  </sheetViews>
  <sheetFormatPr defaultColWidth="14.42578125" defaultRowHeight="16.5" x14ac:dyDescent="0.25"/>
  <cols>
    <col min="1" max="1" width="9.28515625" style="56" bestFit="1" customWidth="1"/>
    <col min="2" max="2" width="11.5703125" style="56" bestFit="1" customWidth="1"/>
    <col min="3" max="3" width="19.28515625" style="56" bestFit="1" customWidth="1"/>
    <col min="4" max="4" width="8.140625" style="56" bestFit="1" customWidth="1"/>
    <col min="5" max="5" width="12.7109375" style="56" bestFit="1" customWidth="1"/>
    <col min="6" max="6" width="11.7109375" style="56" customWidth="1"/>
    <col min="7" max="7" width="11.85546875" style="56" customWidth="1"/>
    <col min="8" max="8" width="8.7109375" style="56" bestFit="1" customWidth="1"/>
    <col min="9" max="9" width="7.85546875" style="56" customWidth="1"/>
    <col min="10" max="10" width="10.28515625" style="56" bestFit="1" customWidth="1"/>
    <col min="11" max="11" width="4.7109375" style="56" customWidth="1"/>
    <col min="12" max="36" width="4.7109375" style="56" bestFit="1" customWidth="1"/>
    <col min="37" max="16384" width="14.42578125" style="56"/>
  </cols>
  <sheetData>
    <row r="1" spans="1:36" x14ac:dyDescent="0.25">
      <c r="A1" s="54"/>
      <c r="B1" s="55"/>
    </row>
    <row r="2" spans="1:36" x14ac:dyDescent="0.25">
      <c r="A2" s="54"/>
      <c r="B2" s="55"/>
      <c r="G2" s="173"/>
    </row>
    <row r="3" spans="1:36" x14ac:dyDescent="0.25">
      <c r="A3" s="54"/>
      <c r="B3" s="55"/>
      <c r="G3" s="174"/>
      <c r="J3" s="173"/>
      <c r="K3" s="173"/>
      <c r="L3" s="174"/>
      <c r="M3" s="174"/>
      <c r="N3" s="174"/>
      <c r="O3" s="174"/>
      <c r="P3" s="174"/>
      <c r="Q3" s="174"/>
      <c r="R3" s="174"/>
      <c r="S3" s="174"/>
      <c r="T3" s="174"/>
    </row>
    <row r="4" spans="1:36" x14ac:dyDescent="0.25">
      <c r="D4" s="174"/>
      <c r="E4" s="177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5" spans="1:36" x14ac:dyDescent="0.25">
      <c r="A5" s="178" t="s">
        <v>99</v>
      </c>
      <c r="B5" s="174"/>
      <c r="D5" s="174"/>
      <c r="E5" s="177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</row>
    <row r="6" spans="1:36" x14ac:dyDescent="0.25">
      <c r="A6" s="87"/>
      <c r="B6" s="88"/>
      <c r="C6" s="74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</row>
    <row r="7" spans="1:36" ht="49.5" x14ac:dyDescent="0.25">
      <c r="A7" s="89" t="s">
        <v>59</v>
      </c>
      <c r="B7" s="89" t="s">
        <v>60</v>
      </c>
      <c r="C7" s="89" t="s">
        <v>10</v>
      </c>
      <c r="D7" s="89" t="s">
        <v>27</v>
      </c>
      <c r="E7" s="89" t="s">
        <v>13</v>
      </c>
      <c r="F7" s="90" t="s">
        <v>61</v>
      </c>
      <c r="G7" s="90" t="s">
        <v>19</v>
      </c>
      <c r="H7" s="90" t="s">
        <v>62</v>
      </c>
      <c r="I7" s="90" t="s">
        <v>63</v>
      </c>
      <c r="J7" s="90" t="s">
        <v>64</v>
      </c>
      <c r="K7" s="91" t="s">
        <v>65</v>
      </c>
      <c r="L7" s="91" t="s">
        <v>66</v>
      </c>
      <c r="M7" s="91" t="s">
        <v>67</v>
      </c>
      <c r="N7" s="91" t="s">
        <v>68</v>
      </c>
      <c r="O7" s="91" t="s">
        <v>69</v>
      </c>
      <c r="P7" s="91" t="s">
        <v>70</v>
      </c>
      <c r="Q7" s="91" t="s">
        <v>71</v>
      </c>
      <c r="R7" s="91" t="s">
        <v>72</v>
      </c>
      <c r="S7" s="91" t="s">
        <v>73</v>
      </c>
      <c r="T7" s="91" t="s">
        <v>74</v>
      </c>
      <c r="U7" s="91" t="s">
        <v>75</v>
      </c>
      <c r="V7" s="91" t="s">
        <v>76</v>
      </c>
      <c r="W7" s="91" t="s">
        <v>77</v>
      </c>
      <c r="X7" s="91" t="s">
        <v>78</v>
      </c>
      <c r="Y7" s="91" t="s">
        <v>79</v>
      </c>
      <c r="Z7" s="91" t="s">
        <v>80</v>
      </c>
      <c r="AA7" s="91" t="s">
        <v>81</v>
      </c>
      <c r="AB7" s="91" t="s">
        <v>82</v>
      </c>
      <c r="AC7" s="91" t="s">
        <v>83</v>
      </c>
      <c r="AD7" s="91" t="s">
        <v>84</v>
      </c>
      <c r="AE7" s="91" t="s">
        <v>85</v>
      </c>
      <c r="AF7" s="91" t="s">
        <v>100</v>
      </c>
      <c r="AG7" s="91" t="s">
        <v>101</v>
      </c>
      <c r="AH7" s="91" t="s">
        <v>102</v>
      </c>
      <c r="AI7" s="91" t="s">
        <v>103</v>
      </c>
      <c r="AJ7" s="91" t="s">
        <v>104</v>
      </c>
    </row>
    <row r="8" spans="1:36" x14ac:dyDescent="0.25">
      <c r="A8" s="97">
        <v>1</v>
      </c>
      <c r="B8" s="98" t="s">
        <v>36</v>
      </c>
      <c r="C8" s="99" t="s">
        <v>86</v>
      </c>
      <c r="D8" s="100" t="s">
        <v>177</v>
      </c>
      <c r="E8" s="49" t="s">
        <v>18</v>
      </c>
      <c r="F8" s="39">
        <v>3</v>
      </c>
      <c r="G8" s="39">
        <v>3</v>
      </c>
      <c r="H8" s="92">
        <f>F8-G8</f>
        <v>0</v>
      </c>
      <c r="I8" s="92">
        <v>3</v>
      </c>
      <c r="J8" s="92">
        <f>I8-F8</f>
        <v>0</v>
      </c>
      <c r="K8" s="39"/>
      <c r="L8" s="39"/>
      <c r="M8" s="39"/>
      <c r="N8" s="39">
        <v>3</v>
      </c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</row>
    <row r="9" spans="1:36" x14ac:dyDescent="0.25">
      <c r="A9" s="97">
        <f>A8+0.1</f>
        <v>1.1000000000000001</v>
      </c>
      <c r="B9" s="98" t="s">
        <v>36</v>
      </c>
      <c r="C9" s="101" t="s">
        <v>255</v>
      </c>
      <c r="D9" s="100" t="s">
        <v>181</v>
      </c>
      <c r="E9" s="40" t="s">
        <v>18</v>
      </c>
      <c r="F9" s="39">
        <v>5</v>
      </c>
      <c r="G9" s="39">
        <v>5</v>
      </c>
      <c r="H9" s="92">
        <f t="shared" ref="H9:H49" si="0">F9-G9</f>
        <v>0</v>
      </c>
      <c r="I9" s="92">
        <v>5</v>
      </c>
      <c r="J9" s="92">
        <f t="shared" ref="J9:J47" si="1">I9-F9</f>
        <v>0</v>
      </c>
      <c r="K9" s="39"/>
      <c r="L9" s="39"/>
      <c r="M9" s="39"/>
      <c r="N9" s="39"/>
      <c r="O9" s="39"/>
      <c r="P9" s="39"/>
      <c r="Q9" s="39"/>
      <c r="R9" s="39"/>
      <c r="S9" s="39"/>
      <c r="T9" s="39"/>
      <c r="U9" s="39">
        <v>5</v>
      </c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</row>
    <row r="10" spans="1:36" x14ac:dyDescent="0.25">
      <c r="A10" s="97">
        <f t="shared" ref="A10:A49" si="2">A9+0.1</f>
        <v>1.2000000000000002</v>
      </c>
      <c r="B10" s="98" t="s">
        <v>36</v>
      </c>
      <c r="C10" s="101" t="s">
        <v>256</v>
      </c>
      <c r="D10" s="100" t="s">
        <v>181</v>
      </c>
      <c r="E10" s="40" t="s">
        <v>18</v>
      </c>
      <c r="F10" s="39">
        <v>7</v>
      </c>
      <c r="G10" s="39">
        <v>7</v>
      </c>
      <c r="H10" s="92">
        <f t="shared" si="0"/>
        <v>0</v>
      </c>
      <c r="I10" s="92">
        <v>7</v>
      </c>
      <c r="J10" s="92">
        <f t="shared" si="1"/>
        <v>0</v>
      </c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>
        <v>7</v>
      </c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</row>
    <row r="11" spans="1:36" x14ac:dyDescent="0.25">
      <c r="A11" s="97">
        <f t="shared" si="2"/>
        <v>1.3000000000000003</v>
      </c>
      <c r="B11" s="98" t="s">
        <v>36</v>
      </c>
      <c r="C11" s="101" t="s">
        <v>254</v>
      </c>
      <c r="D11" s="100" t="s">
        <v>92</v>
      </c>
      <c r="E11" s="40" t="s">
        <v>18</v>
      </c>
      <c r="F11" s="39">
        <v>4</v>
      </c>
      <c r="G11" s="39">
        <v>4</v>
      </c>
      <c r="H11" s="92">
        <f t="shared" si="0"/>
        <v>0</v>
      </c>
      <c r="I11" s="92">
        <v>4</v>
      </c>
      <c r="J11" s="92">
        <f t="shared" si="1"/>
        <v>0</v>
      </c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>
        <v>4</v>
      </c>
      <c r="AE11" s="39"/>
      <c r="AF11" s="39"/>
      <c r="AG11" s="39"/>
      <c r="AH11" s="39"/>
      <c r="AI11" s="39"/>
      <c r="AJ11" s="39"/>
    </row>
    <row r="12" spans="1:36" x14ac:dyDescent="0.25">
      <c r="A12" s="97">
        <f t="shared" si="2"/>
        <v>1.4000000000000004</v>
      </c>
      <c r="B12" s="102" t="s">
        <v>36</v>
      </c>
      <c r="C12" s="101" t="s">
        <v>88</v>
      </c>
      <c r="D12" s="100" t="s">
        <v>89</v>
      </c>
      <c r="E12" s="40" t="s">
        <v>90</v>
      </c>
      <c r="F12" s="39">
        <v>2</v>
      </c>
      <c r="G12" s="39"/>
      <c r="H12" s="92">
        <f t="shared" si="0"/>
        <v>2</v>
      </c>
      <c r="I12" s="92"/>
      <c r="J12" s="92">
        <f t="shared" si="1"/>
        <v>-2</v>
      </c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</row>
    <row r="13" spans="1:36" x14ac:dyDescent="0.25">
      <c r="A13" s="97">
        <f t="shared" si="2"/>
        <v>1.5000000000000004</v>
      </c>
      <c r="B13" s="98" t="s">
        <v>36</v>
      </c>
      <c r="C13" s="101" t="s">
        <v>91</v>
      </c>
      <c r="D13" s="100" t="s">
        <v>89</v>
      </c>
      <c r="E13" s="40" t="s">
        <v>90</v>
      </c>
      <c r="F13" s="39">
        <v>4</v>
      </c>
      <c r="G13" s="39"/>
      <c r="H13" s="92">
        <f t="shared" si="0"/>
        <v>4</v>
      </c>
      <c r="I13" s="92"/>
      <c r="J13" s="92">
        <v>0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>
        <v>4</v>
      </c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</row>
    <row r="14" spans="1:36" x14ac:dyDescent="0.25">
      <c r="A14" s="103">
        <f t="shared" si="2"/>
        <v>1.6000000000000005</v>
      </c>
      <c r="B14" s="104" t="s">
        <v>38</v>
      </c>
      <c r="C14" s="105" t="s">
        <v>86</v>
      </c>
      <c r="D14" s="100" t="s">
        <v>177</v>
      </c>
      <c r="E14" s="40" t="s">
        <v>18</v>
      </c>
      <c r="F14" s="39">
        <v>3</v>
      </c>
      <c r="G14" s="39">
        <v>3</v>
      </c>
      <c r="H14" s="92">
        <f t="shared" si="0"/>
        <v>0</v>
      </c>
      <c r="I14" s="92">
        <v>3</v>
      </c>
      <c r="J14" s="92">
        <f t="shared" si="1"/>
        <v>0</v>
      </c>
      <c r="K14" s="39"/>
      <c r="L14" s="39"/>
      <c r="M14" s="39"/>
      <c r="N14" s="39"/>
      <c r="O14" s="39">
        <v>3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</row>
    <row r="15" spans="1:36" x14ac:dyDescent="0.25">
      <c r="A15" s="103">
        <f t="shared" si="2"/>
        <v>1.7000000000000006</v>
      </c>
      <c r="B15" s="104" t="s">
        <v>38</v>
      </c>
      <c r="C15" s="105" t="s">
        <v>255</v>
      </c>
      <c r="D15" s="100" t="s">
        <v>181</v>
      </c>
      <c r="E15" s="40" t="s">
        <v>18</v>
      </c>
      <c r="F15" s="39">
        <v>6</v>
      </c>
      <c r="G15" s="39">
        <v>6</v>
      </c>
      <c r="H15" s="92">
        <f t="shared" si="0"/>
        <v>0</v>
      </c>
      <c r="I15" s="92">
        <v>6</v>
      </c>
      <c r="J15" s="92">
        <f t="shared" si="1"/>
        <v>0</v>
      </c>
      <c r="K15" s="39"/>
      <c r="L15" s="39"/>
      <c r="M15" s="39"/>
      <c r="N15" s="39"/>
      <c r="O15" s="39"/>
      <c r="P15" s="39"/>
      <c r="Q15" s="39"/>
      <c r="R15" s="39">
        <v>6</v>
      </c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</row>
    <row r="16" spans="1:36" x14ac:dyDescent="0.25">
      <c r="A16" s="103">
        <f t="shared" si="2"/>
        <v>1.8000000000000007</v>
      </c>
      <c r="B16" s="106" t="s">
        <v>38</v>
      </c>
      <c r="C16" s="107" t="s">
        <v>256</v>
      </c>
      <c r="D16" s="108" t="s">
        <v>181</v>
      </c>
      <c r="E16" s="40" t="s">
        <v>18</v>
      </c>
      <c r="F16" s="39">
        <v>8</v>
      </c>
      <c r="G16" s="39">
        <v>8</v>
      </c>
      <c r="H16" s="92">
        <f t="shared" si="0"/>
        <v>0</v>
      </c>
      <c r="I16" s="92">
        <v>8</v>
      </c>
      <c r="J16" s="92">
        <f t="shared" si="1"/>
        <v>0</v>
      </c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>
        <v>8</v>
      </c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</row>
    <row r="17" spans="1:36" s="55" customFormat="1" ht="20.45" customHeight="1" x14ac:dyDescent="0.25">
      <c r="A17" s="104">
        <f>A16+0.1</f>
        <v>1.9000000000000008</v>
      </c>
      <c r="B17" s="106" t="s">
        <v>38</v>
      </c>
      <c r="C17" s="109" t="s">
        <v>254</v>
      </c>
      <c r="D17" s="108" t="s">
        <v>92</v>
      </c>
      <c r="E17" s="39" t="s">
        <v>18</v>
      </c>
      <c r="F17" s="39">
        <v>5</v>
      </c>
      <c r="G17" s="39">
        <v>5</v>
      </c>
      <c r="H17" s="92">
        <f t="shared" si="0"/>
        <v>0</v>
      </c>
      <c r="I17" s="92">
        <v>5</v>
      </c>
      <c r="J17" s="92">
        <f>I17-F17</f>
        <v>0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>
        <v>5</v>
      </c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</row>
    <row r="18" spans="1:36" x14ac:dyDescent="0.25">
      <c r="A18" s="103">
        <f t="shared" si="2"/>
        <v>2.0000000000000009</v>
      </c>
      <c r="B18" s="106" t="s">
        <v>38</v>
      </c>
      <c r="C18" s="110" t="s">
        <v>88</v>
      </c>
      <c r="D18" s="108" t="s">
        <v>89</v>
      </c>
      <c r="E18" s="40" t="s">
        <v>90</v>
      </c>
      <c r="F18" s="39">
        <v>3</v>
      </c>
      <c r="G18" s="39"/>
      <c r="H18" s="92">
        <f t="shared" si="0"/>
        <v>3</v>
      </c>
      <c r="I18" s="92"/>
      <c r="J18" s="92">
        <f t="shared" si="1"/>
        <v>-3</v>
      </c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</row>
    <row r="19" spans="1:36" x14ac:dyDescent="0.25">
      <c r="A19" s="103">
        <f t="shared" si="2"/>
        <v>2.100000000000001</v>
      </c>
      <c r="B19" s="106" t="s">
        <v>38</v>
      </c>
      <c r="C19" s="110" t="s">
        <v>91</v>
      </c>
      <c r="D19" s="108" t="s">
        <v>89</v>
      </c>
      <c r="E19" s="40" t="s">
        <v>90</v>
      </c>
      <c r="F19" s="39">
        <v>5</v>
      </c>
      <c r="G19" s="39"/>
      <c r="H19" s="92">
        <f t="shared" si="0"/>
        <v>5</v>
      </c>
      <c r="I19" s="92"/>
      <c r="J19" s="92">
        <f t="shared" si="1"/>
        <v>-5</v>
      </c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</row>
    <row r="20" spans="1:36" x14ac:dyDescent="0.25">
      <c r="A20" s="97">
        <f t="shared" si="2"/>
        <v>2.2000000000000011</v>
      </c>
      <c r="B20" s="111" t="s">
        <v>39</v>
      </c>
      <c r="C20" s="112" t="s">
        <v>86</v>
      </c>
      <c r="D20" s="108" t="s">
        <v>177</v>
      </c>
      <c r="E20" s="40" t="s">
        <v>18</v>
      </c>
      <c r="F20" s="39">
        <v>3</v>
      </c>
      <c r="G20" s="39">
        <v>3</v>
      </c>
      <c r="H20" s="92">
        <f t="shared" si="0"/>
        <v>0</v>
      </c>
      <c r="I20" s="92">
        <v>3</v>
      </c>
      <c r="J20" s="92">
        <f t="shared" si="1"/>
        <v>0</v>
      </c>
      <c r="K20" s="39"/>
      <c r="L20" s="39">
        <v>3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</row>
    <row r="21" spans="1:36" x14ac:dyDescent="0.25">
      <c r="A21" s="97">
        <f t="shared" si="2"/>
        <v>2.3000000000000012</v>
      </c>
      <c r="B21" s="111" t="s">
        <v>39</v>
      </c>
      <c r="C21" s="112" t="s">
        <v>255</v>
      </c>
      <c r="D21" s="108" t="s">
        <v>181</v>
      </c>
      <c r="E21" s="40" t="s">
        <v>18</v>
      </c>
      <c r="F21" s="39">
        <v>6</v>
      </c>
      <c r="G21" s="39">
        <v>6</v>
      </c>
      <c r="H21" s="92">
        <f t="shared" si="0"/>
        <v>0</v>
      </c>
      <c r="I21" s="92">
        <v>6</v>
      </c>
      <c r="J21" s="92">
        <f t="shared" si="1"/>
        <v>0</v>
      </c>
      <c r="K21" s="39"/>
      <c r="L21" s="39"/>
      <c r="M21" s="39"/>
      <c r="N21" s="39"/>
      <c r="O21" s="39"/>
      <c r="P21" s="39"/>
      <c r="Q21" s="39"/>
      <c r="R21" s="39"/>
      <c r="S21" s="39"/>
      <c r="T21" s="39">
        <v>6</v>
      </c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</row>
    <row r="22" spans="1:36" x14ac:dyDescent="0.25">
      <c r="A22" s="97">
        <f t="shared" si="2"/>
        <v>2.4000000000000012</v>
      </c>
      <c r="B22" s="111" t="s">
        <v>39</v>
      </c>
      <c r="C22" s="112" t="s">
        <v>256</v>
      </c>
      <c r="D22" s="108" t="s">
        <v>177</v>
      </c>
      <c r="E22" s="40" t="s">
        <v>18</v>
      </c>
      <c r="F22" s="39">
        <v>8</v>
      </c>
      <c r="G22" s="39">
        <v>8</v>
      </c>
      <c r="H22" s="92">
        <f t="shared" si="0"/>
        <v>0</v>
      </c>
      <c r="I22" s="92">
        <v>8</v>
      </c>
      <c r="J22" s="92">
        <f t="shared" si="1"/>
        <v>0</v>
      </c>
      <c r="K22" s="39"/>
      <c r="L22" s="39"/>
      <c r="M22" s="39"/>
      <c r="N22" s="39"/>
      <c r="O22" s="39"/>
      <c r="P22" s="39"/>
      <c r="Q22" s="39"/>
      <c r="R22" s="39"/>
      <c r="S22" s="39"/>
      <c r="T22" s="39">
        <v>8</v>
      </c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</row>
    <row r="23" spans="1:36" x14ac:dyDescent="0.25">
      <c r="A23" s="97">
        <f t="shared" si="2"/>
        <v>2.5000000000000013</v>
      </c>
      <c r="B23" s="111" t="s">
        <v>39</v>
      </c>
      <c r="C23" s="112" t="s">
        <v>254</v>
      </c>
      <c r="D23" s="108" t="s">
        <v>92</v>
      </c>
      <c r="E23" s="40" t="s">
        <v>18</v>
      </c>
      <c r="F23" s="39">
        <v>5</v>
      </c>
      <c r="G23" s="39">
        <v>5</v>
      </c>
      <c r="H23" s="92">
        <f t="shared" si="0"/>
        <v>0</v>
      </c>
      <c r="I23" s="92">
        <v>5</v>
      </c>
      <c r="J23" s="92">
        <f t="shared" si="1"/>
        <v>0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>
        <v>5</v>
      </c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</row>
    <row r="24" spans="1:36" x14ac:dyDescent="0.25">
      <c r="A24" s="97">
        <f t="shared" si="2"/>
        <v>2.6000000000000014</v>
      </c>
      <c r="B24" s="102" t="s">
        <v>39</v>
      </c>
      <c r="C24" s="113" t="s">
        <v>88</v>
      </c>
      <c r="D24" s="100" t="s">
        <v>89</v>
      </c>
      <c r="E24" s="40" t="s">
        <v>90</v>
      </c>
      <c r="F24" s="39">
        <v>3</v>
      </c>
      <c r="G24" s="39"/>
      <c r="H24" s="92">
        <f t="shared" si="0"/>
        <v>3</v>
      </c>
      <c r="I24" s="92"/>
      <c r="J24" s="92">
        <f t="shared" si="1"/>
        <v>-3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</row>
    <row r="25" spans="1:36" x14ac:dyDescent="0.25">
      <c r="A25" s="97">
        <f t="shared" si="2"/>
        <v>2.7000000000000015</v>
      </c>
      <c r="B25" s="102" t="s">
        <v>39</v>
      </c>
      <c r="C25" s="114" t="s">
        <v>91</v>
      </c>
      <c r="D25" s="100" t="s">
        <v>89</v>
      </c>
      <c r="E25" s="40" t="s">
        <v>90</v>
      </c>
      <c r="F25" s="39">
        <v>5</v>
      </c>
      <c r="G25" s="39"/>
      <c r="H25" s="92">
        <f t="shared" si="0"/>
        <v>5</v>
      </c>
      <c r="I25" s="92"/>
      <c r="J25" s="92">
        <v>0</v>
      </c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>
        <v>5</v>
      </c>
      <c r="AC25" s="39"/>
      <c r="AD25" s="39"/>
      <c r="AE25" s="39"/>
      <c r="AF25" s="39"/>
      <c r="AG25" s="39"/>
      <c r="AH25" s="39"/>
      <c r="AI25" s="39"/>
      <c r="AJ25" s="39"/>
    </row>
    <row r="26" spans="1:36" x14ac:dyDescent="0.25">
      <c r="A26" s="103">
        <f t="shared" si="2"/>
        <v>2.8000000000000016</v>
      </c>
      <c r="B26" s="104" t="s">
        <v>51</v>
      </c>
      <c r="C26" s="105" t="s">
        <v>86</v>
      </c>
      <c r="D26" s="100" t="s">
        <v>177</v>
      </c>
      <c r="E26" s="40" t="s">
        <v>18</v>
      </c>
      <c r="F26" s="39">
        <v>2</v>
      </c>
      <c r="G26" s="39">
        <v>2</v>
      </c>
      <c r="H26" s="92">
        <f t="shared" si="0"/>
        <v>0</v>
      </c>
      <c r="I26" s="92">
        <v>2</v>
      </c>
      <c r="J26" s="92">
        <f t="shared" si="1"/>
        <v>0</v>
      </c>
      <c r="K26" s="39"/>
      <c r="L26" s="39">
        <v>2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</row>
    <row r="27" spans="1:36" x14ac:dyDescent="0.25">
      <c r="A27" s="103">
        <f t="shared" si="2"/>
        <v>2.9000000000000017</v>
      </c>
      <c r="B27" s="104" t="s">
        <v>51</v>
      </c>
      <c r="C27" s="105" t="s">
        <v>255</v>
      </c>
      <c r="D27" s="100" t="s">
        <v>177</v>
      </c>
      <c r="E27" s="40" t="s">
        <v>18</v>
      </c>
      <c r="F27" s="39">
        <v>4</v>
      </c>
      <c r="G27" s="39">
        <v>4</v>
      </c>
      <c r="H27" s="92">
        <f t="shared" si="0"/>
        <v>0</v>
      </c>
      <c r="I27" s="92">
        <v>4</v>
      </c>
      <c r="J27" s="92">
        <f t="shared" si="1"/>
        <v>0</v>
      </c>
      <c r="K27" s="39"/>
      <c r="L27" s="39"/>
      <c r="M27" s="39"/>
      <c r="N27" s="39"/>
      <c r="O27" s="39"/>
      <c r="P27" s="39"/>
      <c r="Q27" s="39"/>
      <c r="R27" s="39"/>
      <c r="S27" s="39"/>
      <c r="T27" s="39">
        <v>4</v>
      </c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</row>
    <row r="28" spans="1:36" x14ac:dyDescent="0.25">
      <c r="A28" s="103">
        <f t="shared" si="2"/>
        <v>3.0000000000000018</v>
      </c>
      <c r="B28" s="104" t="s">
        <v>51</v>
      </c>
      <c r="C28" s="105" t="s">
        <v>256</v>
      </c>
      <c r="D28" s="100" t="s">
        <v>181</v>
      </c>
      <c r="E28" s="40" t="s">
        <v>18</v>
      </c>
      <c r="F28" s="39">
        <v>6</v>
      </c>
      <c r="G28" s="39">
        <v>6</v>
      </c>
      <c r="H28" s="92">
        <f t="shared" si="0"/>
        <v>0</v>
      </c>
      <c r="I28" s="92">
        <v>6</v>
      </c>
      <c r="J28" s="92">
        <f t="shared" si="1"/>
        <v>0</v>
      </c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>
        <v>6</v>
      </c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</row>
    <row r="29" spans="1:36" x14ac:dyDescent="0.25">
      <c r="A29" s="103">
        <f t="shared" si="2"/>
        <v>3.1000000000000019</v>
      </c>
      <c r="B29" s="104" t="s">
        <v>51</v>
      </c>
      <c r="C29" s="105" t="s">
        <v>254</v>
      </c>
      <c r="D29" s="100" t="s">
        <v>92</v>
      </c>
      <c r="E29" s="40" t="s">
        <v>18</v>
      </c>
      <c r="F29" s="39">
        <v>3</v>
      </c>
      <c r="G29" s="39">
        <v>3</v>
      </c>
      <c r="H29" s="92">
        <f t="shared" si="0"/>
        <v>0</v>
      </c>
      <c r="I29" s="92">
        <v>3</v>
      </c>
      <c r="J29" s="92">
        <f t="shared" si="1"/>
        <v>0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>
        <v>3</v>
      </c>
      <c r="AB29" s="39"/>
      <c r="AC29" s="39"/>
      <c r="AD29" s="39"/>
      <c r="AE29" s="39"/>
      <c r="AF29" s="39"/>
      <c r="AG29" s="39"/>
      <c r="AH29" s="39"/>
      <c r="AI29" s="39"/>
      <c r="AJ29" s="39"/>
    </row>
    <row r="30" spans="1:36" x14ac:dyDescent="0.25">
      <c r="A30" s="103">
        <f t="shared" si="2"/>
        <v>3.200000000000002</v>
      </c>
      <c r="B30" s="104" t="s">
        <v>51</v>
      </c>
      <c r="C30" s="105" t="s">
        <v>88</v>
      </c>
      <c r="D30" s="100" t="s">
        <v>89</v>
      </c>
      <c r="E30" s="40" t="s">
        <v>90</v>
      </c>
      <c r="F30" s="39">
        <v>2</v>
      </c>
      <c r="G30" s="39"/>
      <c r="H30" s="92">
        <f t="shared" si="0"/>
        <v>2</v>
      </c>
      <c r="I30" s="92"/>
      <c r="J30" s="92">
        <f t="shared" si="1"/>
        <v>-2</v>
      </c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</row>
    <row r="31" spans="1:36" x14ac:dyDescent="0.25">
      <c r="A31" s="103">
        <f t="shared" si="2"/>
        <v>3.300000000000002</v>
      </c>
      <c r="B31" s="106" t="s">
        <v>51</v>
      </c>
      <c r="C31" s="107" t="s">
        <v>91</v>
      </c>
      <c r="D31" s="108" t="s">
        <v>89</v>
      </c>
      <c r="E31" s="40" t="s">
        <v>90</v>
      </c>
      <c r="F31" s="39">
        <v>3</v>
      </c>
      <c r="G31" s="39"/>
      <c r="H31" s="92">
        <f t="shared" si="0"/>
        <v>3</v>
      </c>
      <c r="I31" s="92"/>
      <c r="J31" s="92">
        <f t="shared" si="1"/>
        <v>-3</v>
      </c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</row>
    <row r="32" spans="1:36" x14ac:dyDescent="0.25">
      <c r="A32" s="46">
        <f t="shared" si="2"/>
        <v>3.4000000000000021</v>
      </c>
      <c r="B32" s="51" t="s">
        <v>31</v>
      </c>
      <c r="C32" s="115" t="s">
        <v>88</v>
      </c>
      <c r="D32" s="108" t="s">
        <v>177</v>
      </c>
      <c r="E32" s="40" t="s">
        <v>18</v>
      </c>
      <c r="F32" s="39">
        <v>4</v>
      </c>
      <c r="G32" s="39">
        <v>4</v>
      </c>
      <c r="H32" s="92">
        <f t="shared" si="0"/>
        <v>0</v>
      </c>
      <c r="I32" s="92">
        <v>4</v>
      </c>
      <c r="J32" s="92">
        <f t="shared" si="1"/>
        <v>0</v>
      </c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>
        <v>4</v>
      </c>
      <c r="AH32" s="39"/>
      <c r="AI32" s="39"/>
      <c r="AJ32" s="39"/>
    </row>
    <row r="33" spans="1:36" x14ac:dyDescent="0.25">
      <c r="A33" s="46">
        <f t="shared" si="2"/>
        <v>3.5000000000000022</v>
      </c>
      <c r="B33" s="51" t="s">
        <v>31</v>
      </c>
      <c r="C33" s="52" t="s">
        <v>91</v>
      </c>
      <c r="D33" s="108" t="s">
        <v>181</v>
      </c>
      <c r="E33" s="40" t="s">
        <v>277</v>
      </c>
      <c r="F33" s="39">
        <v>7</v>
      </c>
      <c r="G33" s="39">
        <v>5</v>
      </c>
      <c r="H33" s="92">
        <f t="shared" si="0"/>
        <v>2</v>
      </c>
      <c r="I33" s="92">
        <v>5</v>
      </c>
      <c r="J33" s="92">
        <f t="shared" si="1"/>
        <v>-2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>
        <v>5</v>
      </c>
      <c r="AH33" s="39"/>
      <c r="AI33" s="39"/>
      <c r="AJ33" s="39"/>
    </row>
    <row r="34" spans="1:36" x14ac:dyDescent="0.25">
      <c r="A34" s="46">
        <f t="shared" si="2"/>
        <v>3.6000000000000023</v>
      </c>
      <c r="B34" s="51" t="s">
        <v>32</v>
      </c>
      <c r="C34" s="52" t="s">
        <v>88</v>
      </c>
      <c r="D34" s="108" t="s">
        <v>92</v>
      </c>
      <c r="E34" s="40" t="s">
        <v>18</v>
      </c>
      <c r="F34" s="39">
        <v>4</v>
      </c>
      <c r="G34" s="39">
        <v>4</v>
      </c>
      <c r="H34" s="92">
        <f t="shared" si="0"/>
        <v>0</v>
      </c>
      <c r="I34" s="92">
        <v>4</v>
      </c>
      <c r="J34" s="92">
        <f t="shared" si="1"/>
        <v>0</v>
      </c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>
        <v>4</v>
      </c>
      <c r="AE34" s="39"/>
      <c r="AF34" s="39"/>
      <c r="AG34" s="39"/>
      <c r="AH34" s="39"/>
      <c r="AI34" s="39"/>
      <c r="AJ34" s="39"/>
    </row>
    <row r="35" spans="1:36" x14ac:dyDescent="0.25">
      <c r="A35" s="46">
        <f t="shared" si="2"/>
        <v>3.7000000000000024</v>
      </c>
      <c r="B35" s="51" t="s">
        <v>32</v>
      </c>
      <c r="C35" s="52" t="s">
        <v>91</v>
      </c>
      <c r="D35" s="108" t="s">
        <v>182</v>
      </c>
      <c r="E35" s="40" t="s">
        <v>18</v>
      </c>
      <c r="F35" s="39">
        <v>7</v>
      </c>
      <c r="G35" s="39">
        <v>7</v>
      </c>
      <c r="H35" s="92">
        <f t="shared" si="0"/>
        <v>0</v>
      </c>
      <c r="I35" s="92">
        <v>7</v>
      </c>
      <c r="J35" s="92">
        <f t="shared" si="1"/>
        <v>0</v>
      </c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>
        <v>7</v>
      </c>
      <c r="AH35" s="39"/>
      <c r="AI35" s="39"/>
      <c r="AJ35" s="39"/>
    </row>
    <row r="36" spans="1:36" x14ac:dyDescent="0.25">
      <c r="A36" s="46">
        <f t="shared" si="2"/>
        <v>3.8000000000000025</v>
      </c>
      <c r="B36" s="51" t="s">
        <v>33</v>
      </c>
      <c r="C36" s="52" t="s">
        <v>88</v>
      </c>
      <c r="D36" s="108" t="s">
        <v>181</v>
      </c>
      <c r="E36" s="40" t="s">
        <v>18</v>
      </c>
      <c r="F36" s="39">
        <v>3</v>
      </c>
      <c r="G36" s="39">
        <v>3</v>
      </c>
      <c r="H36" s="92">
        <f t="shared" si="0"/>
        <v>0</v>
      </c>
      <c r="I36" s="92">
        <v>3</v>
      </c>
      <c r="J36" s="92">
        <f t="shared" si="1"/>
        <v>0</v>
      </c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>
        <v>3</v>
      </c>
      <c r="AF36" s="39"/>
      <c r="AG36" s="39"/>
      <c r="AH36" s="39"/>
      <c r="AI36" s="39"/>
      <c r="AJ36" s="39"/>
    </row>
    <row r="37" spans="1:36" x14ac:dyDescent="0.25">
      <c r="A37" s="46">
        <f t="shared" si="2"/>
        <v>3.9000000000000026</v>
      </c>
      <c r="B37" s="51" t="s">
        <v>33</v>
      </c>
      <c r="C37" s="52" t="s">
        <v>91</v>
      </c>
      <c r="D37" s="108" t="s">
        <v>181</v>
      </c>
      <c r="E37" s="40" t="s">
        <v>18</v>
      </c>
      <c r="F37" s="39">
        <v>3</v>
      </c>
      <c r="G37" s="39">
        <v>3</v>
      </c>
      <c r="H37" s="92">
        <f t="shared" si="0"/>
        <v>0</v>
      </c>
      <c r="I37" s="92">
        <v>3</v>
      </c>
      <c r="J37" s="92">
        <f t="shared" si="1"/>
        <v>0</v>
      </c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>
        <v>3</v>
      </c>
      <c r="AH37" s="39"/>
      <c r="AI37" s="39"/>
      <c r="AJ37" s="39"/>
    </row>
    <row r="38" spans="1:36" x14ac:dyDescent="0.25">
      <c r="A38" s="46">
        <f t="shared" si="2"/>
        <v>4.0000000000000027</v>
      </c>
      <c r="B38" s="51" t="s">
        <v>34</v>
      </c>
      <c r="C38" s="52" t="s">
        <v>88</v>
      </c>
      <c r="D38" s="108" t="s">
        <v>177</v>
      </c>
      <c r="E38" s="40" t="s">
        <v>18</v>
      </c>
      <c r="F38" s="39">
        <v>4</v>
      </c>
      <c r="G38" s="39">
        <v>4</v>
      </c>
      <c r="H38" s="92">
        <f t="shared" si="0"/>
        <v>0</v>
      </c>
      <c r="I38" s="92">
        <v>4</v>
      </c>
      <c r="J38" s="92">
        <f t="shared" si="1"/>
        <v>0</v>
      </c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>
        <v>4</v>
      </c>
      <c r="AF38" s="39"/>
      <c r="AG38" s="39"/>
      <c r="AH38" s="39"/>
      <c r="AI38" s="39"/>
      <c r="AJ38" s="39"/>
    </row>
    <row r="39" spans="1:36" x14ac:dyDescent="0.25">
      <c r="A39" s="46">
        <f t="shared" si="2"/>
        <v>4.1000000000000023</v>
      </c>
      <c r="B39" s="47" t="s">
        <v>34</v>
      </c>
      <c r="C39" s="116" t="s">
        <v>91</v>
      </c>
      <c r="D39" s="100" t="s">
        <v>177</v>
      </c>
      <c r="E39" s="40" t="s">
        <v>18</v>
      </c>
      <c r="F39" s="39">
        <v>4</v>
      </c>
      <c r="G39" s="39">
        <v>4</v>
      </c>
      <c r="H39" s="92">
        <f t="shared" si="0"/>
        <v>0</v>
      </c>
      <c r="I39" s="92">
        <v>4</v>
      </c>
      <c r="J39" s="92">
        <f t="shared" si="1"/>
        <v>0</v>
      </c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>
        <v>4</v>
      </c>
      <c r="AI39" s="39"/>
      <c r="AJ39" s="39"/>
    </row>
    <row r="40" spans="1:36" x14ac:dyDescent="0.25">
      <c r="A40" s="46">
        <f t="shared" si="2"/>
        <v>4.200000000000002</v>
      </c>
      <c r="B40" s="47" t="s">
        <v>42</v>
      </c>
      <c r="C40" s="48" t="s">
        <v>88</v>
      </c>
      <c r="D40" s="100" t="s">
        <v>182</v>
      </c>
      <c r="E40" s="40" t="s">
        <v>18</v>
      </c>
      <c r="F40" s="39">
        <v>6</v>
      </c>
      <c r="G40" s="39">
        <v>6</v>
      </c>
      <c r="H40" s="92">
        <f t="shared" si="0"/>
        <v>0</v>
      </c>
      <c r="I40" s="92">
        <v>6</v>
      </c>
      <c r="J40" s="92">
        <f t="shared" si="1"/>
        <v>0</v>
      </c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>
        <v>6</v>
      </c>
      <c r="AE40" s="39"/>
      <c r="AF40" s="39"/>
      <c r="AG40" s="39"/>
      <c r="AH40" s="39"/>
      <c r="AI40" s="39"/>
      <c r="AJ40" s="39"/>
    </row>
    <row r="41" spans="1:36" x14ac:dyDescent="0.25">
      <c r="A41" s="46">
        <f t="shared" si="2"/>
        <v>4.3000000000000016</v>
      </c>
      <c r="B41" s="47" t="s">
        <v>42</v>
      </c>
      <c r="C41" s="48" t="s">
        <v>91</v>
      </c>
      <c r="D41" s="100" t="s">
        <v>182</v>
      </c>
      <c r="E41" s="40" t="s">
        <v>277</v>
      </c>
      <c r="F41" s="39">
        <v>6</v>
      </c>
      <c r="G41" s="39">
        <v>4</v>
      </c>
      <c r="H41" s="92">
        <f t="shared" si="0"/>
        <v>2</v>
      </c>
      <c r="I41" s="92">
        <v>3</v>
      </c>
      <c r="J41" s="92">
        <f t="shared" si="1"/>
        <v>-3</v>
      </c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>
        <v>4</v>
      </c>
      <c r="AI41" s="39"/>
      <c r="AJ41" s="39"/>
    </row>
    <row r="42" spans="1:36" x14ac:dyDescent="0.25">
      <c r="A42" s="46">
        <f t="shared" si="2"/>
        <v>4.4000000000000012</v>
      </c>
      <c r="B42" s="47" t="s">
        <v>35</v>
      </c>
      <c r="C42" s="48" t="s">
        <v>88</v>
      </c>
      <c r="D42" s="100" t="s">
        <v>182</v>
      </c>
      <c r="E42" s="40" t="s">
        <v>18</v>
      </c>
      <c r="F42" s="39">
        <v>4</v>
      </c>
      <c r="G42" s="39">
        <v>4</v>
      </c>
      <c r="H42" s="92">
        <f t="shared" si="0"/>
        <v>0</v>
      </c>
      <c r="I42" s="92">
        <v>4</v>
      </c>
      <c r="J42" s="92">
        <f t="shared" si="1"/>
        <v>0</v>
      </c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>
        <v>4</v>
      </c>
      <c r="AE42" s="39"/>
      <c r="AF42" s="39"/>
      <c r="AG42" s="39"/>
      <c r="AH42" s="39"/>
      <c r="AI42" s="39"/>
      <c r="AJ42" s="39"/>
    </row>
    <row r="43" spans="1:36" x14ac:dyDescent="0.25">
      <c r="A43" s="46">
        <f t="shared" si="2"/>
        <v>4.5000000000000009</v>
      </c>
      <c r="B43" s="47" t="s">
        <v>35</v>
      </c>
      <c r="C43" s="48" t="s">
        <v>91</v>
      </c>
      <c r="D43" s="100" t="s">
        <v>182</v>
      </c>
      <c r="E43" s="40" t="s">
        <v>18</v>
      </c>
      <c r="F43" s="39">
        <v>7</v>
      </c>
      <c r="G43" s="39">
        <v>7</v>
      </c>
      <c r="H43" s="92">
        <f t="shared" si="0"/>
        <v>0</v>
      </c>
      <c r="I43" s="92">
        <v>7</v>
      </c>
      <c r="J43" s="92">
        <f t="shared" si="1"/>
        <v>0</v>
      </c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>
        <v>7</v>
      </c>
      <c r="AH43" s="39"/>
      <c r="AI43" s="39"/>
      <c r="AJ43" s="39"/>
    </row>
    <row r="44" spans="1:36" x14ac:dyDescent="0.25">
      <c r="A44" s="46">
        <f t="shared" si="2"/>
        <v>4.6000000000000005</v>
      </c>
      <c r="B44" s="47" t="s">
        <v>37</v>
      </c>
      <c r="C44" s="48" t="s">
        <v>88</v>
      </c>
      <c r="D44" s="100" t="s">
        <v>181</v>
      </c>
      <c r="E44" s="40" t="s">
        <v>18</v>
      </c>
      <c r="F44" s="39">
        <v>4</v>
      </c>
      <c r="G44" s="39">
        <v>4</v>
      </c>
      <c r="H44" s="92">
        <f t="shared" si="0"/>
        <v>0</v>
      </c>
      <c r="I44" s="92">
        <v>4</v>
      </c>
      <c r="J44" s="92">
        <f t="shared" si="1"/>
        <v>0</v>
      </c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>
        <v>4</v>
      </c>
      <c r="AF44" s="39"/>
      <c r="AG44" s="39"/>
      <c r="AH44" s="39"/>
      <c r="AI44" s="39"/>
      <c r="AJ44" s="39"/>
    </row>
    <row r="45" spans="1:36" x14ac:dyDescent="0.25">
      <c r="A45" s="46">
        <f t="shared" si="2"/>
        <v>4.7</v>
      </c>
      <c r="B45" s="47" t="s">
        <v>37</v>
      </c>
      <c r="C45" s="48" t="s">
        <v>91</v>
      </c>
      <c r="D45" s="100" t="s">
        <v>182</v>
      </c>
      <c r="E45" s="40" t="s">
        <v>18</v>
      </c>
      <c r="F45" s="39">
        <v>7</v>
      </c>
      <c r="G45" s="39">
        <v>7</v>
      </c>
      <c r="H45" s="92">
        <f t="shared" si="0"/>
        <v>0</v>
      </c>
      <c r="I45" s="92">
        <v>7</v>
      </c>
      <c r="J45" s="92">
        <f t="shared" si="1"/>
        <v>0</v>
      </c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>
        <v>7</v>
      </c>
      <c r="AI45" s="39"/>
      <c r="AJ45" s="39"/>
    </row>
    <row r="46" spans="1:36" x14ac:dyDescent="0.25">
      <c r="A46" s="46">
        <f t="shared" si="2"/>
        <v>4.8</v>
      </c>
      <c r="B46" s="47" t="s">
        <v>40</v>
      </c>
      <c r="C46" s="48" t="s">
        <v>88</v>
      </c>
      <c r="D46" s="100" t="s">
        <v>177</v>
      </c>
      <c r="E46" s="40" t="s">
        <v>18</v>
      </c>
      <c r="F46" s="39">
        <v>4</v>
      </c>
      <c r="G46" s="39">
        <v>4</v>
      </c>
      <c r="H46" s="92">
        <f t="shared" si="0"/>
        <v>0</v>
      </c>
      <c r="I46" s="92">
        <v>4</v>
      </c>
      <c r="J46" s="92">
        <f t="shared" si="1"/>
        <v>0</v>
      </c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>
        <v>4</v>
      </c>
      <c r="AH46" s="39"/>
      <c r="AI46" s="39"/>
      <c r="AJ46" s="39"/>
    </row>
    <row r="47" spans="1:36" x14ac:dyDescent="0.25">
      <c r="A47" s="46">
        <f t="shared" si="2"/>
        <v>4.8999999999999995</v>
      </c>
      <c r="B47" s="117" t="s">
        <v>40</v>
      </c>
      <c r="C47" s="118" t="s">
        <v>91</v>
      </c>
      <c r="D47" s="119" t="s">
        <v>92</v>
      </c>
      <c r="E47" s="40" t="s">
        <v>18</v>
      </c>
      <c r="F47" s="39">
        <v>6</v>
      </c>
      <c r="G47" s="39">
        <v>6</v>
      </c>
      <c r="H47" s="92">
        <f t="shared" si="0"/>
        <v>0</v>
      </c>
      <c r="I47" s="92">
        <v>6</v>
      </c>
      <c r="J47" s="92">
        <f t="shared" si="1"/>
        <v>0</v>
      </c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>
        <v>6</v>
      </c>
      <c r="AI47" s="39"/>
      <c r="AJ47" s="39"/>
    </row>
    <row r="48" spans="1:36" x14ac:dyDescent="0.25">
      <c r="A48" s="46">
        <f t="shared" si="2"/>
        <v>4.9999999999999991</v>
      </c>
      <c r="B48" s="117" t="s">
        <v>41</v>
      </c>
      <c r="C48" s="118" t="s">
        <v>88</v>
      </c>
      <c r="D48" s="119" t="s">
        <v>89</v>
      </c>
      <c r="E48" s="40" t="s">
        <v>90</v>
      </c>
      <c r="F48" s="39">
        <v>4</v>
      </c>
      <c r="G48" s="39"/>
      <c r="H48" s="92">
        <f t="shared" si="0"/>
        <v>4</v>
      </c>
      <c r="I48" s="92"/>
      <c r="J48" s="92">
        <v>0</v>
      </c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>
        <v>4</v>
      </c>
    </row>
    <row r="49" spans="1:36" x14ac:dyDescent="0.25">
      <c r="A49" s="46">
        <f t="shared" si="2"/>
        <v>5.0999999999999988</v>
      </c>
      <c r="B49" s="117" t="s">
        <v>41</v>
      </c>
      <c r="C49" s="118" t="s">
        <v>91</v>
      </c>
      <c r="D49" s="119" t="s">
        <v>89</v>
      </c>
      <c r="E49" s="40" t="s">
        <v>90</v>
      </c>
      <c r="F49" s="39">
        <v>6</v>
      </c>
      <c r="G49" s="39"/>
      <c r="H49" s="92">
        <f t="shared" si="0"/>
        <v>6</v>
      </c>
      <c r="I49" s="92"/>
      <c r="J49" s="92">
        <v>0</v>
      </c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>
        <v>6</v>
      </c>
      <c r="AJ49" s="39"/>
    </row>
    <row r="50" spans="1:36" x14ac:dyDescent="0.25">
      <c r="A50" s="58"/>
      <c r="B50" s="58"/>
      <c r="C50" s="59"/>
      <c r="D50" s="59"/>
      <c r="E50" s="93" t="s">
        <v>93</v>
      </c>
      <c r="F50" s="94">
        <f>SUM(F8:F49)</f>
        <v>195</v>
      </c>
      <c r="G50" s="94">
        <f>SUM(G8:G46)</f>
        <v>148</v>
      </c>
      <c r="H50" s="94">
        <f>SUM(H8:H46)</f>
        <v>31</v>
      </c>
      <c r="I50" s="94">
        <f>SUM(I8:I46)</f>
        <v>147</v>
      </c>
      <c r="J50" s="94">
        <f>SUM(J8:J46)</f>
        <v>-23</v>
      </c>
      <c r="K50" s="94">
        <f t="shared" ref="K50:AJ50" si="3">SUBTOTAL(9,K7:K49)</f>
        <v>0</v>
      </c>
      <c r="L50" s="94">
        <f t="shared" si="3"/>
        <v>5</v>
      </c>
      <c r="M50" s="94">
        <f t="shared" si="3"/>
        <v>0</v>
      </c>
      <c r="N50" s="94">
        <f t="shared" si="3"/>
        <v>3</v>
      </c>
      <c r="O50" s="94">
        <f t="shared" si="3"/>
        <v>3</v>
      </c>
      <c r="P50" s="94">
        <f t="shared" si="3"/>
        <v>0</v>
      </c>
      <c r="Q50" s="94">
        <f t="shared" si="3"/>
        <v>0</v>
      </c>
      <c r="R50" s="94">
        <f t="shared" si="3"/>
        <v>6</v>
      </c>
      <c r="S50" s="94">
        <f t="shared" si="3"/>
        <v>0</v>
      </c>
      <c r="T50" s="94">
        <f t="shared" si="3"/>
        <v>18</v>
      </c>
      <c r="U50" s="94">
        <f t="shared" si="3"/>
        <v>5</v>
      </c>
      <c r="V50" s="94">
        <f t="shared" si="3"/>
        <v>20</v>
      </c>
      <c r="W50" s="94">
        <f t="shared" si="3"/>
        <v>5</v>
      </c>
      <c r="X50" s="94">
        <f t="shared" si="3"/>
        <v>4</v>
      </c>
      <c r="Y50" s="94">
        <f t="shared" si="3"/>
        <v>6</v>
      </c>
      <c r="Z50" s="94">
        <f t="shared" si="3"/>
        <v>0</v>
      </c>
      <c r="AA50" s="94">
        <f t="shared" si="3"/>
        <v>3</v>
      </c>
      <c r="AB50" s="94">
        <f t="shared" si="3"/>
        <v>5</v>
      </c>
      <c r="AC50" s="94">
        <f t="shared" si="3"/>
        <v>0</v>
      </c>
      <c r="AD50" s="94">
        <f t="shared" si="3"/>
        <v>18</v>
      </c>
      <c r="AE50" s="94">
        <f t="shared" si="3"/>
        <v>11</v>
      </c>
      <c r="AF50" s="94">
        <f t="shared" si="3"/>
        <v>0</v>
      </c>
      <c r="AG50" s="94">
        <f t="shared" si="3"/>
        <v>30</v>
      </c>
      <c r="AH50" s="94">
        <f t="shared" si="3"/>
        <v>21</v>
      </c>
      <c r="AI50" s="94">
        <f t="shared" si="3"/>
        <v>6</v>
      </c>
      <c r="AJ50" s="94">
        <f t="shared" si="3"/>
        <v>4</v>
      </c>
    </row>
    <row r="51" spans="1:36" x14ac:dyDescent="0.25">
      <c r="A51" s="58"/>
      <c r="B51" s="58"/>
      <c r="C51" s="59"/>
      <c r="D51" s="59"/>
      <c r="E51" s="93" t="s">
        <v>94</v>
      </c>
      <c r="F51" s="94"/>
      <c r="G51" s="94"/>
      <c r="H51" s="94"/>
      <c r="I51" s="94"/>
      <c r="J51" s="94"/>
      <c r="K51" s="94">
        <f>F50-K50</f>
        <v>195</v>
      </c>
      <c r="L51" s="94">
        <f>K51-L50</f>
        <v>190</v>
      </c>
      <c r="M51" s="94">
        <f>L51-M50</f>
        <v>190</v>
      </c>
      <c r="N51" s="94">
        <f t="shared" ref="N51:AJ51" si="4">M51-N50</f>
        <v>187</v>
      </c>
      <c r="O51" s="94">
        <f t="shared" si="4"/>
        <v>184</v>
      </c>
      <c r="P51" s="94">
        <f t="shared" si="4"/>
        <v>184</v>
      </c>
      <c r="Q51" s="94">
        <f t="shared" si="4"/>
        <v>184</v>
      </c>
      <c r="R51" s="94">
        <f t="shared" si="4"/>
        <v>178</v>
      </c>
      <c r="S51" s="94">
        <f t="shared" si="4"/>
        <v>178</v>
      </c>
      <c r="T51" s="94">
        <f t="shared" si="4"/>
        <v>160</v>
      </c>
      <c r="U51" s="94">
        <f t="shared" si="4"/>
        <v>155</v>
      </c>
      <c r="V51" s="94">
        <f t="shared" si="4"/>
        <v>135</v>
      </c>
      <c r="W51" s="94">
        <f t="shared" si="4"/>
        <v>130</v>
      </c>
      <c r="X51" s="94">
        <f t="shared" si="4"/>
        <v>126</v>
      </c>
      <c r="Y51" s="94">
        <f t="shared" si="4"/>
        <v>120</v>
      </c>
      <c r="Z51" s="94">
        <f t="shared" si="4"/>
        <v>120</v>
      </c>
      <c r="AA51" s="94">
        <f t="shared" si="4"/>
        <v>117</v>
      </c>
      <c r="AB51" s="94">
        <f t="shared" si="4"/>
        <v>112</v>
      </c>
      <c r="AC51" s="94">
        <f t="shared" si="4"/>
        <v>112</v>
      </c>
      <c r="AD51" s="94">
        <f t="shared" si="4"/>
        <v>94</v>
      </c>
      <c r="AE51" s="94">
        <f t="shared" si="4"/>
        <v>83</v>
      </c>
      <c r="AF51" s="94">
        <f t="shared" si="4"/>
        <v>83</v>
      </c>
      <c r="AG51" s="94">
        <f t="shared" si="4"/>
        <v>53</v>
      </c>
      <c r="AH51" s="94">
        <f t="shared" si="4"/>
        <v>32</v>
      </c>
      <c r="AI51" s="94">
        <f t="shared" si="4"/>
        <v>26</v>
      </c>
      <c r="AJ51" s="94">
        <f t="shared" si="4"/>
        <v>22</v>
      </c>
    </row>
    <row r="52" spans="1:36" x14ac:dyDescent="0.25">
      <c r="A52" s="58"/>
      <c r="B52" s="58"/>
      <c r="C52" s="59"/>
      <c r="D52" s="59"/>
      <c r="E52" s="93" t="s">
        <v>95</v>
      </c>
      <c r="F52" s="94"/>
      <c r="G52" s="94"/>
      <c r="H52" s="94"/>
      <c r="I52" s="94"/>
      <c r="J52" s="94"/>
      <c r="K52" s="94">
        <f>K50</f>
        <v>0</v>
      </c>
      <c r="L52" s="94">
        <f t="shared" ref="L52:AJ52" si="5">K52+L50</f>
        <v>5</v>
      </c>
      <c r="M52" s="94">
        <f t="shared" si="5"/>
        <v>5</v>
      </c>
      <c r="N52" s="94">
        <f t="shared" si="5"/>
        <v>8</v>
      </c>
      <c r="O52" s="94">
        <f t="shared" si="5"/>
        <v>11</v>
      </c>
      <c r="P52" s="94">
        <f t="shared" si="5"/>
        <v>11</v>
      </c>
      <c r="Q52" s="94">
        <f t="shared" si="5"/>
        <v>11</v>
      </c>
      <c r="R52" s="94">
        <f t="shared" si="5"/>
        <v>17</v>
      </c>
      <c r="S52" s="94">
        <f t="shared" si="5"/>
        <v>17</v>
      </c>
      <c r="T52" s="94">
        <f t="shared" si="5"/>
        <v>35</v>
      </c>
      <c r="U52" s="94">
        <f t="shared" si="5"/>
        <v>40</v>
      </c>
      <c r="V52" s="94">
        <f t="shared" si="5"/>
        <v>60</v>
      </c>
      <c r="W52" s="94">
        <f t="shared" si="5"/>
        <v>65</v>
      </c>
      <c r="X52" s="94">
        <f t="shared" si="5"/>
        <v>69</v>
      </c>
      <c r="Y52" s="94">
        <f t="shared" si="5"/>
        <v>75</v>
      </c>
      <c r="Z52" s="94">
        <f t="shared" si="5"/>
        <v>75</v>
      </c>
      <c r="AA52" s="94">
        <f t="shared" si="5"/>
        <v>78</v>
      </c>
      <c r="AB52" s="94">
        <f t="shared" si="5"/>
        <v>83</v>
      </c>
      <c r="AC52" s="94">
        <f t="shared" si="5"/>
        <v>83</v>
      </c>
      <c r="AD52" s="94">
        <f t="shared" si="5"/>
        <v>101</v>
      </c>
      <c r="AE52" s="94">
        <f t="shared" si="5"/>
        <v>112</v>
      </c>
      <c r="AF52" s="94">
        <f t="shared" si="5"/>
        <v>112</v>
      </c>
      <c r="AG52" s="94">
        <f t="shared" si="5"/>
        <v>142</v>
      </c>
      <c r="AH52" s="94">
        <f t="shared" si="5"/>
        <v>163</v>
      </c>
      <c r="AI52" s="94">
        <f t="shared" si="5"/>
        <v>169</v>
      </c>
      <c r="AJ52" s="94">
        <f t="shared" si="5"/>
        <v>173</v>
      </c>
    </row>
    <row r="53" spans="1:36" x14ac:dyDescent="0.25">
      <c r="A53" s="54"/>
      <c r="B53" s="54"/>
      <c r="C53" s="54"/>
      <c r="D53" s="54"/>
      <c r="E53" s="54"/>
      <c r="I53" s="179"/>
      <c r="J53" s="174"/>
    </row>
    <row r="54" spans="1:36" x14ac:dyDescent="0.25">
      <c r="A54" s="180"/>
      <c r="B54" s="180"/>
      <c r="C54" s="180"/>
      <c r="N54" s="55"/>
    </row>
    <row r="55" spans="1:36" x14ac:dyDescent="0.25">
      <c r="A55" s="172"/>
      <c r="B55" s="172"/>
      <c r="C55" s="172"/>
      <c r="J55" s="60"/>
    </row>
    <row r="56" spans="1:36" x14ac:dyDescent="0.25">
      <c r="A56" s="54"/>
      <c r="B56" s="55"/>
      <c r="I56" s="179"/>
      <c r="J56" s="174"/>
    </row>
    <row r="57" spans="1:36" x14ac:dyDescent="0.25">
      <c r="A57" s="54"/>
      <c r="B57" s="55"/>
    </row>
    <row r="58" spans="1:36" x14ac:dyDescent="0.25">
      <c r="A58" s="54"/>
      <c r="B58" s="55"/>
    </row>
    <row r="59" spans="1:36" x14ac:dyDescent="0.25">
      <c r="A59" s="54"/>
      <c r="B59" s="55"/>
    </row>
    <row r="60" spans="1:36" x14ac:dyDescent="0.25">
      <c r="A60" s="54"/>
      <c r="B60" s="55"/>
    </row>
    <row r="61" spans="1:36" x14ac:dyDescent="0.25">
      <c r="A61" s="54"/>
      <c r="B61" s="55"/>
    </row>
    <row r="62" spans="1:36" x14ac:dyDescent="0.25">
      <c r="A62" s="54"/>
      <c r="B62" s="55"/>
    </row>
    <row r="63" spans="1:36" x14ac:dyDescent="0.25">
      <c r="A63" s="54"/>
      <c r="B63" s="55"/>
    </row>
    <row r="64" spans="1:36" x14ac:dyDescent="0.25">
      <c r="A64" s="54"/>
      <c r="B64" s="55"/>
    </row>
    <row r="65" spans="1:2" x14ac:dyDescent="0.25">
      <c r="A65" s="54"/>
      <c r="B65" s="55"/>
    </row>
    <row r="66" spans="1:2" x14ac:dyDescent="0.25">
      <c r="A66" s="54"/>
      <c r="B66" s="55"/>
    </row>
    <row r="67" spans="1:2" x14ac:dyDescent="0.25">
      <c r="A67" s="54"/>
      <c r="B67" s="55"/>
    </row>
    <row r="68" spans="1:2" x14ac:dyDescent="0.25">
      <c r="A68" s="54"/>
      <c r="B68" s="55"/>
    </row>
    <row r="69" spans="1:2" x14ac:dyDescent="0.25">
      <c r="A69" s="54"/>
      <c r="B69" s="55"/>
    </row>
    <row r="70" spans="1:2" x14ac:dyDescent="0.25">
      <c r="A70" s="54"/>
      <c r="B70" s="55"/>
    </row>
    <row r="71" spans="1:2" x14ac:dyDescent="0.25">
      <c r="A71" s="54"/>
      <c r="B71" s="55"/>
    </row>
    <row r="72" spans="1:2" x14ac:dyDescent="0.25">
      <c r="A72" s="54"/>
      <c r="B72" s="55"/>
    </row>
    <row r="73" spans="1:2" x14ac:dyDescent="0.25">
      <c r="A73" s="54"/>
      <c r="B73" s="55"/>
    </row>
    <row r="74" spans="1:2" x14ac:dyDescent="0.25">
      <c r="A74" s="54"/>
      <c r="B74" s="55"/>
    </row>
    <row r="75" spans="1:2" x14ac:dyDescent="0.25">
      <c r="A75" s="54"/>
      <c r="B75" s="55"/>
    </row>
    <row r="76" spans="1:2" x14ac:dyDescent="0.25">
      <c r="A76" s="54"/>
      <c r="B76" s="55"/>
    </row>
    <row r="77" spans="1:2" x14ac:dyDescent="0.25">
      <c r="A77" s="54"/>
      <c r="B77" s="55"/>
    </row>
    <row r="78" spans="1:2" x14ac:dyDescent="0.25">
      <c r="A78" s="54"/>
      <c r="B78" s="55"/>
    </row>
    <row r="79" spans="1:2" x14ac:dyDescent="0.25">
      <c r="A79" s="54"/>
      <c r="B79" s="55"/>
    </row>
    <row r="80" spans="1:2" x14ac:dyDescent="0.25">
      <c r="A80" s="54"/>
      <c r="B80" s="55"/>
    </row>
    <row r="81" spans="1:4" x14ac:dyDescent="0.25">
      <c r="A81" s="54"/>
      <c r="B81" s="55"/>
    </row>
    <row r="82" spans="1:4" x14ac:dyDescent="0.25">
      <c r="A82" s="54"/>
      <c r="B82" s="55"/>
    </row>
    <row r="83" spans="1:4" x14ac:dyDescent="0.25">
      <c r="A83" s="54"/>
      <c r="B83" s="55"/>
    </row>
    <row r="84" spans="1:4" x14ac:dyDescent="0.25">
      <c r="A84" s="54"/>
      <c r="B84" s="55"/>
    </row>
    <row r="85" spans="1:4" x14ac:dyDescent="0.25">
      <c r="A85" s="60"/>
      <c r="B85" s="55"/>
    </row>
    <row r="86" spans="1:4" x14ac:dyDescent="0.25">
      <c r="A86" s="54"/>
      <c r="B86" s="55"/>
    </row>
    <row r="87" spans="1:4" x14ac:dyDescent="0.25">
      <c r="A87" s="54"/>
      <c r="B87" s="55"/>
    </row>
    <row r="88" spans="1:4" x14ac:dyDescent="0.25">
      <c r="A88" s="54"/>
      <c r="B88" s="55"/>
    </row>
    <row r="89" spans="1:4" x14ac:dyDescent="0.25">
      <c r="A89" s="172"/>
      <c r="B89" s="172"/>
      <c r="C89" s="172"/>
      <c r="D89" s="60"/>
    </row>
    <row r="90" spans="1:4" x14ac:dyDescent="0.25">
      <c r="A90" s="54"/>
      <c r="B90" s="55"/>
    </row>
    <row r="91" spans="1:4" x14ac:dyDescent="0.25">
      <c r="A91" s="54"/>
      <c r="B91" s="55"/>
    </row>
    <row r="92" spans="1:4" x14ac:dyDescent="0.25">
      <c r="A92" s="54"/>
      <c r="B92" s="55"/>
    </row>
    <row r="93" spans="1:4" x14ac:dyDescent="0.25">
      <c r="A93" s="54"/>
      <c r="B93" s="55"/>
    </row>
    <row r="94" spans="1:4" x14ac:dyDescent="0.25">
      <c r="A94" s="54"/>
      <c r="B94" s="55"/>
    </row>
    <row r="95" spans="1:4" x14ac:dyDescent="0.25">
      <c r="A95" s="54"/>
      <c r="B95" s="55"/>
    </row>
    <row r="96" spans="1:4" x14ac:dyDescent="0.25">
      <c r="A96" s="54"/>
      <c r="B96" s="55"/>
    </row>
    <row r="97" spans="1:2" x14ac:dyDescent="0.25">
      <c r="A97" s="54"/>
      <c r="B97" s="55"/>
    </row>
    <row r="98" spans="1:2" x14ac:dyDescent="0.25">
      <c r="A98" s="54"/>
      <c r="B98" s="55"/>
    </row>
    <row r="99" spans="1:2" x14ac:dyDescent="0.25">
      <c r="A99" s="54"/>
      <c r="B99" s="55"/>
    </row>
    <row r="100" spans="1:2" x14ac:dyDescent="0.25">
      <c r="A100" s="54"/>
      <c r="B100" s="55"/>
    </row>
    <row r="101" spans="1:2" x14ac:dyDescent="0.25">
      <c r="A101" s="54"/>
      <c r="B101" s="55"/>
    </row>
    <row r="102" spans="1:2" x14ac:dyDescent="0.25">
      <c r="A102" s="54"/>
      <c r="B102" s="55"/>
    </row>
    <row r="103" spans="1:2" x14ac:dyDescent="0.25">
      <c r="A103" s="54"/>
      <c r="B103" s="55"/>
    </row>
    <row r="104" spans="1:2" x14ac:dyDescent="0.25">
      <c r="A104" s="54"/>
      <c r="B104" s="55"/>
    </row>
    <row r="105" spans="1:2" x14ac:dyDescent="0.25">
      <c r="A105" s="54"/>
      <c r="B105" s="55"/>
    </row>
    <row r="106" spans="1:2" x14ac:dyDescent="0.25">
      <c r="A106" s="54"/>
      <c r="B106" s="55"/>
    </row>
    <row r="107" spans="1:2" x14ac:dyDescent="0.25">
      <c r="A107" s="54"/>
      <c r="B107" s="55"/>
    </row>
    <row r="108" spans="1:2" x14ac:dyDescent="0.25">
      <c r="A108" s="54"/>
      <c r="B108" s="55"/>
    </row>
    <row r="109" spans="1:2" x14ac:dyDescent="0.25">
      <c r="A109" s="54"/>
      <c r="B109" s="55"/>
    </row>
    <row r="110" spans="1:2" x14ac:dyDescent="0.25">
      <c r="A110" s="54"/>
      <c r="B110" s="55"/>
    </row>
    <row r="111" spans="1:2" x14ac:dyDescent="0.25">
      <c r="A111" s="54"/>
      <c r="B111" s="55"/>
    </row>
    <row r="112" spans="1:2" x14ac:dyDescent="0.25">
      <c r="A112" s="54"/>
      <c r="B112" s="55"/>
    </row>
    <row r="113" spans="1:2" x14ac:dyDescent="0.25">
      <c r="A113" s="54"/>
      <c r="B113" s="55"/>
    </row>
    <row r="114" spans="1:2" x14ac:dyDescent="0.25">
      <c r="A114" s="54"/>
      <c r="B114" s="55"/>
    </row>
    <row r="115" spans="1:2" x14ac:dyDescent="0.25">
      <c r="A115" s="54"/>
      <c r="B115" s="55"/>
    </row>
    <row r="116" spans="1:2" x14ac:dyDescent="0.25">
      <c r="A116" s="54"/>
      <c r="B116" s="55"/>
    </row>
    <row r="117" spans="1:2" x14ac:dyDescent="0.25">
      <c r="A117" s="54"/>
      <c r="B117" s="55"/>
    </row>
    <row r="118" spans="1:2" x14ac:dyDescent="0.25">
      <c r="A118" s="54"/>
      <c r="B118" s="55"/>
    </row>
    <row r="119" spans="1:2" x14ac:dyDescent="0.25">
      <c r="A119" s="54"/>
      <c r="B119" s="55"/>
    </row>
    <row r="120" spans="1:2" x14ac:dyDescent="0.25">
      <c r="A120" s="54"/>
      <c r="B120" s="55"/>
    </row>
    <row r="121" spans="1:2" x14ac:dyDescent="0.25">
      <c r="A121" s="54"/>
      <c r="B121" s="55"/>
    </row>
    <row r="122" spans="1:2" x14ac:dyDescent="0.25">
      <c r="A122" s="54"/>
      <c r="B122" s="55"/>
    </row>
    <row r="123" spans="1:2" x14ac:dyDescent="0.25">
      <c r="A123" s="54"/>
      <c r="B123" s="55"/>
    </row>
    <row r="124" spans="1:2" x14ac:dyDescent="0.25">
      <c r="A124" s="54"/>
      <c r="B124" s="55"/>
    </row>
    <row r="125" spans="1:2" x14ac:dyDescent="0.25">
      <c r="A125" s="54"/>
      <c r="B125" s="55"/>
    </row>
    <row r="126" spans="1:2" x14ac:dyDescent="0.25">
      <c r="A126" s="54"/>
      <c r="B126" s="55"/>
    </row>
    <row r="127" spans="1:2" x14ac:dyDescent="0.25">
      <c r="A127" s="54"/>
      <c r="B127" s="55"/>
    </row>
    <row r="128" spans="1:2" x14ac:dyDescent="0.25">
      <c r="A128" s="54"/>
      <c r="B128" s="55"/>
    </row>
    <row r="129" spans="1:2" x14ac:dyDescent="0.25">
      <c r="A129" s="54"/>
      <c r="B129" s="55"/>
    </row>
    <row r="130" spans="1:2" x14ac:dyDescent="0.25">
      <c r="A130" s="54"/>
      <c r="B130" s="55"/>
    </row>
    <row r="131" spans="1:2" x14ac:dyDescent="0.25">
      <c r="A131" s="54"/>
      <c r="B131" s="55"/>
    </row>
    <row r="132" spans="1:2" x14ac:dyDescent="0.25">
      <c r="A132" s="54"/>
      <c r="B132" s="55"/>
    </row>
    <row r="133" spans="1:2" x14ac:dyDescent="0.25">
      <c r="A133" s="54"/>
      <c r="B133" s="55"/>
    </row>
    <row r="134" spans="1:2" x14ac:dyDescent="0.25">
      <c r="A134" s="54"/>
      <c r="B134" s="55"/>
    </row>
    <row r="135" spans="1:2" x14ac:dyDescent="0.25">
      <c r="A135" s="54"/>
      <c r="B135" s="55"/>
    </row>
    <row r="136" spans="1:2" x14ac:dyDescent="0.25">
      <c r="A136" s="54"/>
      <c r="B136" s="55"/>
    </row>
    <row r="137" spans="1:2" x14ac:dyDescent="0.25">
      <c r="A137" s="54"/>
      <c r="B137" s="55"/>
    </row>
    <row r="138" spans="1:2" x14ac:dyDescent="0.25">
      <c r="A138" s="54"/>
      <c r="B138" s="55"/>
    </row>
    <row r="139" spans="1:2" x14ac:dyDescent="0.25">
      <c r="A139" s="54"/>
      <c r="B139" s="55"/>
    </row>
    <row r="140" spans="1:2" x14ac:dyDescent="0.25">
      <c r="A140" s="54"/>
      <c r="B140" s="55"/>
    </row>
    <row r="141" spans="1:2" x14ac:dyDescent="0.25">
      <c r="A141" s="54"/>
      <c r="B141" s="55"/>
    </row>
    <row r="142" spans="1:2" x14ac:dyDescent="0.25">
      <c r="A142" s="54"/>
      <c r="B142" s="55"/>
    </row>
    <row r="143" spans="1:2" x14ac:dyDescent="0.25">
      <c r="A143" s="54"/>
      <c r="B143" s="55"/>
    </row>
    <row r="144" spans="1:2" x14ac:dyDescent="0.25">
      <c r="A144" s="54"/>
      <c r="B144" s="55"/>
    </row>
    <row r="145" spans="1:2" x14ac:dyDescent="0.25">
      <c r="A145" s="54"/>
      <c r="B145" s="55"/>
    </row>
    <row r="146" spans="1:2" x14ac:dyDescent="0.25">
      <c r="A146" s="54"/>
      <c r="B146" s="55"/>
    </row>
    <row r="147" spans="1:2" x14ac:dyDescent="0.25">
      <c r="A147" s="54"/>
      <c r="B147" s="55"/>
    </row>
    <row r="148" spans="1:2" x14ac:dyDescent="0.25">
      <c r="A148" s="54"/>
      <c r="B148" s="55"/>
    </row>
    <row r="149" spans="1:2" x14ac:dyDescent="0.25">
      <c r="A149" s="54"/>
      <c r="B149" s="55"/>
    </row>
    <row r="150" spans="1:2" x14ac:dyDescent="0.25">
      <c r="A150" s="54"/>
      <c r="B150" s="55"/>
    </row>
    <row r="151" spans="1:2" x14ac:dyDescent="0.25">
      <c r="A151" s="54"/>
      <c r="B151" s="55"/>
    </row>
    <row r="152" spans="1:2" x14ac:dyDescent="0.25">
      <c r="A152" s="54"/>
      <c r="B152" s="55"/>
    </row>
    <row r="153" spans="1:2" x14ac:dyDescent="0.25">
      <c r="A153" s="54"/>
      <c r="B153" s="55"/>
    </row>
    <row r="154" spans="1:2" x14ac:dyDescent="0.25">
      <c r="A154" s="54"/>
      <c r="B154" s="55"/>
    </row>
    <row r="155" spans="1:2" x14ac:dyDescent="0.25">
      <c r="A155" s="54"/>
      <c r="B155" s="55"/>
    </row>
    <row r="156" spans="1:2" x14ac:dyDescent="0.25">
      <c r="A156" s="54"/>
      <c r="B156" s="55"/>
    </row>
    <row r="157" spans="1:2" x14ac:dyDescent="0.25">
      <c r="A157" s="54"/>
      <c r="B157" s="55"/>
    </row>
    <row r="158" spans="1:2" x14ac:dyDescent="0.25">
      <c r="A158" s="54"/>
      <c r="B158" s="55"/>
    </row>
    <row r="159" spans="1:2" x14ac:dyDescent="0.25">
      <c r="A159" s="54"/>
      <c r="B159" s="55"/>
    </row>
    <row r="160" spans="1:2" x14ac:dyDescent="0.25">
      <c r="A160" s="54"/>
      <c r="B160" s="55"/>
    </row>
    <row r="161" spans="1:2" x14ac:dyDescent="0.25">
      <c r="A161" s="54"/>
      <c r="B161" s="55"/>
    </row>
    <row r="162" spans="1:2" x14ac:dyDescent="0.25">
      <c r="A162" s="54"/>
      <c r="B162" s="55"/>
    </row>
    <row r="163" spans="1:2" x14ac:dyDescent="0.25">
      <c r="A163" s="54"/>
      <c r="B163" s="55"/>
    </row>
    <row r="164" spans="1:2" x14ac:dyDescent="0.25">
      <c r="A164" s="54"/>
      <c r="B164" s="55"/>
    </row>
    <row r="165" spans="1:2" x14ac:dyDescent="0.25">
      <c r="A165" s="54"/>
      <c r="B165" s="55"/>
    </row>
    <row r="166" spans="1:2" x14ac:dyDescent="0.25">
      <c r="A166" s="54"/>
      <c r="B166" s="55"/>
    </row>
    <row r="167" spans="1:2" x14ac:dyDescent="0.25">
      <c r="A167" s="54"/>
      <c r="B167" s="55"/>
    </row>
    <row r="168" spans="1:2" x14ac:dyDescent="0.25">
      <c r="A168" s="54"/>
      <c r="B168" s="55"/>
    </row>
  </sheetData>
  <mergeCells count="14">
    <mergeCell ref="A55:C55"/>
    <mergeCell ref="A89:C89"/>
    <mergeCell ref="I53:J53"/>
    <mergeCell ref="I56:J56"/>
    <mergeCell ref="K3:T6"/>
    <mergeCell ref="D4:D6"/>
    <mergeCell ref="H4:H6"/>
    <mergeCell ref="I4:I6"/>
    <mergeCell ref="A54:C54"/>
    <mergeCell ref="A5:B5"/>
    <mergeCell ref="F4:F6"/>
    <mergeCell ref="E4:E6"/>
    <mergeCell ref="G2:G6"/>
    <mergeCell ref="J3:J6"/>
  </mergeCells>
  <dataValidations count="1">
    <dataValidation type="list" allowBlank="1" showErrorMessage="1" sqref="B8:B49" xr:uid="{00000000-0002-0000-0500-000002000000}">
      <formula1>"PB01,PB02,PB09,PB03,PB10,PB04,PB11,PB05,PB12,PB06,PB13,PB15,PB17,PB16,PB31,PB18,PB19,PB20,PB24,PB25,PB21,PB22,PB26,PB14,PB07,PB27,PB28,PB29,PB30,PB23,PB32,PB33,PB34,PB35,PB36,PB08"</formula1>
    </dataValidation>
  </dataValidations>
  <pageMargins left="0.25" right="0.25" top="0.75" bottom="0.75" header="0" footer="0"/>
  <pageSetup paperSize="8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Product Backlog</vt:lpstr>
      <vt:lpstr>Sprint 1 Backlog</vt:lpstr>
      <vt:lpstr>Sprint 2 Backlog</vt:lpstr>
      <vt:lpstr>Sprint 3 Backlog</vt:lpstr>
      <vt:lpstr>Sprint 4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Krishnamurthy</dc:creator>
  <cp:lastModifiedBy>Dũng Mai</cp:lastModifiedBy>
  <cp:lastPrinted>2024-12-21T20:37:19Z</cp:lastPrinted>
  <dcterms:created xsi:type="dcterms:W3CDTF">2018-12-26T04:30:06Z</dcterms:created>
  <dcterms:modified xsi:type="dcterms:W3CDTF">2025-12-16T08:18:29Z</dcterms:modified>
</cp:coreProperties>
</file>